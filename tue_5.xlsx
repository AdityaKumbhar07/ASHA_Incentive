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sha\Asha app\asha-app\public\"/>
    </mc:Choice>
  </mc:AlternateContent>
  <xr:revisionPtr revIDLastSave="0" documentId="13_ncr:1_{0207F273-C7EF-4741-8863-FC2E34439CB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able ASHA 1" sheetId="5" r:id="rId1"/>
    <sheet name="Table ASHA 2" sheetId="6" r:id="rId2"/>
    <sheet name="NORM" sheetId="7" r:id="rId3"/>
  </sheets>
  <definedNames>
    <definedName name="_xlnm.Print_Area" localSheetId="0">'Table ASHA 1'!$A$1:$AH$29</definedName>
    <definedName name="_xlnm.Print_Area" localSheetId="1">'Table ASHA 2'!$A$1:$J$44</definedName>
    <definedName name="_xlnm.Print_Area" localSheetId="2">'NORM'!$A$1:$H$20</definedName>
  </definedName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<sst xmlns="http://schemas.openxmlformats.org/spreadsheetml/2006/main" count="167" uniqueCount="167">
  <si>
    <t>No</t>
  </si>
  <si>
    <t>Assessment Indicator</t>
  </si>
  <si>
    <t>Total</t>
  </si>
  <si>
    <t>Proportion of estimated pregnancies registered (In first trimister)</t>
  </si>
  <si>
    <t>Proportion of pregnant Woman registered who received ANC</t>
  </si>
  <si>
    <t>Proportion of Newborns who received HBNC visits (When newborn all scheduled 6 HBNC visits are completed to be considered as 1)</t>
  </si>
  <si>
    <t>Proportion of Children up to 2 years of age who received immunization</t>
  </si>
  <si>
    <t>Proportion of above 30 years and above whose CBAC form was filled</t>
  </si>
  <si>
    <t>Proportion of above 30 years individuals screened for Hypertension (including repeat yearly screenings for Hypertension)</t>
  </si>
  <si>
    <t>Proportion of patient of HYPERTENSION on Treatment</t>
  </si>
  <si>
    <t>Proportion of above 30 years individuals screened for Diabetes Mellitus</t>
  </si>
  <si>
    <t>Proportion of patient of Diabetes Mellitus  on Treatment</t>
  </si>
  <si>
    <t xml:space="preserve">Proportion of cases referred for TB  Screening </t>
  </si>
  <si>
    <t>Monitoring of Referral cases Upward and Downward</t>
  </si>
  <si>
    <t>HWC Teleconsulatation services provided</t>
  </si>
  <si>
    <t>Yoga Sessions organised &amp; wellneww activities held as per annual health calender including Health Mela at HWC</t>
  </si>
  <si>
    <t>Monthly JAS Meeting Held at SHC-HWCs</t>
  </si>
  <si>
    <t>VHSND held against planned</t>
  </si>
  <si>
    <t>Number of footfalls in the month</t>
  </si>
  <si>
    <t xml:space="preserve">Home visits per month in the catchment area Min 10 home visits per day in Non-Tribal area and Min 5 home visit per day in Tribal area </t>
  </si>
  <si>
    <t>Financial Year</t>
  </si>
  <si>
    <t xml:space="preserve"> </t>
  </si>
  <si>
    <t>Institute Name:</t>
  </si>
  <si>
    <t>Defination</t>
  </si>
  <si>
    <t xml:space="preserve">Source of Verification/ Reporting </t>
  </si>
  <si>
    <t>Performance as per DPR Sheet</t>
  </si>
  <si>
    <t>Denominator as per definition</t>
  </si>
  <si>
    <t>% achievement</t>
  </si>
  <si>
    <t xml:space="preserve">Service Delivery Output of Incentive Payment </t>
  </si>
  <si>
    <t>Applicable Incentive</t>
  </si>
  <si>
    <t>ANMOL/ RCH Portal/RCH Register</t>
  </si>
  <si>
    <t>75% of the estimated pregnancies registered</t>
  </si>
  <si>
    <t>More than 100% of the estimated pregnancies registered</t>
  </si>
  <si>
    <t>75% of pregnant Women who received ANC as per Schedule</t>
  </si>
  <si>
    <t>100%  of pregnant Women who received ANC as per Schedule</t>
  </si>
  <si>
    <t xml:space="preserve">Proportion of Newborns who received HBNC visits </t>
  </si>
  <si>
    <t xml:space="preserve">75% of newborn received HBNC visits </t>
  </si>
  <si>
    <t>100% of newborn received HBNC visits</t>
  </si>
  <si>
    <t>75% of children received immunization as per schedule</t>
  </si>
  <si>
    <t>100% of children received immunization as per schedule</t>
  </si>
  <si>
    <t>Numerator  - No of individuals whose CBAC form filled in that month Denominator - Monthly target of total no of 30 years and above individuals whose CBAC form is to be filled Note - * (Once CBAC of all targeted population is done, the HWC would be awareded full points in all subsequent months un that FY)</t>
  </si>
  <si>
    <t>CPHC NCD Portal</t>
  </si>
  <si>
    <t xml:space="preserve">75% of individuals whose CBAC form filled in that month  total against 30+ populations </t>
  </si>
  <si>
    <t xml:space="preserve">100% of individuals whose CBAC form filled in that month  against total 30+ populations </t>
  </si>
  <si>
    <t>75% of individuals screened for Hypertension out of total 30 years ans above age population</t>
  </si>
  <si>
    <t>100% of individuals screened for Hypertension out of total 30 years ans above age population</t>
  </si>
  <si>
    <t>75 % of patient who received Treatment</t>
  </si>
  <si>
    <t>100 % of patient who received Treatment</t>
  </si>
  <si>
    <t>75% of individuals screened for Diabetes out of total 30 years ans above age population</t>
  </si>
  <si>
    <t>100% of individuals screened for Diabetes out of total 30 years ans above age population</t>
  </si>
  <si>
    <t>Nikshay /SHS-HWC Register</t>
  </si>
  <si>
    <t>75% of suspected TB cases referred against target</t>
  </si>
  <si>
    <t>100 % of suspected TB cases referred against target</t>
  </si>
  <si>
    <t>Numerator  - No of referred cases seen at higher health facility (Upward Refer ) and same cases followed up at SC-HWC  / Hone during home visit (Downward refer ) Denominator - Total cases referred</t>
  </si>
  <si>
    <t>75% referred cases seen at higher health facility (Upward Refer ) and same cases followed up at SC-HWC  / Hone during home visit (Downward refer )</t>
  </si>
  <si>
    <t>100% referred cases seen at higher health facility (Upward Refer ) and same cases followed up at SC-HWC  / Hone during home visit (Downward refer )</t>
  </si>
  <si>
    <t>No of Patients provided Teleconsultaion service</t>
  </si>
  <si>
    <t>E-Sanjieevani</t>
  </si>
  <si>
    <t>75 % of tele consultation done against the target</t>
  </si>
  <si>
    <t>100 % of tele consultation done against the target</t>
  </si>
  <si>
    <t>No of yoga sessions organized &amp; wellness activities held as per annual health calender including organisation of Health Mela against the target *(Target - 5 yoga sessions per month , total monthly wellness activies as per annual health calender including organization of HEalth Mela)</t>
  </si>
  <si>
    <t>AB - HWC Portal</t>
  </si>
  <si>
    <t xml:space="preserve">75 % No of yoga sessions organized &amp; wellness activities held as per annual health calender including organisation of Health Mela against the target </t>
  </si>
  <si>
    <t xml:space="preserve">100 % No of yoga sessions organized &amp; wellness activities held as per annual health calender including organisation of Health Mela against the target </t>
  </si>
  <si>
    <t>Numerator  - No of JAS meetings held Denominator - Total no of JAS meetings planned / expected</t>
  </si>
  <si>
    <t>100 % JAS meetings held against planned</t>
  </si>
  <si>
    <t>Numerator - No of VHSND held                                       Denominator - Total no of VHSND Planned Note - (CHO to monitor)</t>
  </si>
  <si>
    <t>SC - HWC register</t>
  </si>
  <si>
    <t>100 % VHSND held against planned</t>
  </si>
  <si>
    <t>No of OPD cases including new and old cases *(Estimated @60 cases per 1000 population)</t>
  </si>
  <si>
    <t>AB-HWC portal / SC - HWC register</t>
  </si>
  <si>
    <t>75% of OPD achived against estimated cases per populations</t>
  </si>
  <si>
    <t>100 % of OPD achived against estimated cases per populations</t>
  </si>
  <si>
    <t>75 % achivement against target</t>
  </si>
  <si>
    <t>100 % achivement against Target</t>
  </si>
  <si>
    <t>Declaration- I hereby declare that the information furnished is correct.I am aware that if information furnished is found to be false, strict action may be taken against me.</t>
  </si>
  <si>
    <t>2024-25</t>
  </si>
  <si>
    <t>Payment as per Achievement 
(Rs. )</t>
  </si>
  <si>
    <t>ANMOL/ RCH Portal/HWC -Sub Centre register</t>
  </si>
  <si>
    <t>RCH Portal/HWC-SHC register</t>
  </si>
  <si>
    <t>RCH Portal/HWC-Sub Center register</t>
  </si>
  <si>
    <t xml:space="preserve">NCD-CPHC IT Application / HWC-SHS Register </t>
  </si>
  <si>
    <t>Table no. ASHA 1
Daily reporting format: ASHA (to be submitted to CHO)</t>
  </si>
  <si>
    <t>Name &amp; Signature of ASHA</t>
  </si>
  <si>
    <t>Date -            /           / 202</t>
  </si>
  <si>
    <t>TABLE - ASHA-2</t>
  </si>
  <si>
    <t>Performance Linked Payments (PLP) for ASHA</t>
  </si>
  <si>
    <t xml:space="preserve">Validation Officer Name:  </t>
  </si>
  <si>
    <r>
      <rPr>
        <b/>
        <sz val="18"/>
        <rFont val="Cambria"/>
      </rPr>
      <t>Numerator</t>
    </r>
    <r>
      <rPr>
        <sz val="18"/>
        <rFont val="Cambria"/>
      </rPr>
      <t xml:space="preserve">: Number of pregnant women registered for ANC / </t>
    </r>
    <r>
      <rPr>
        <b/>
        <sz val="18"/>
        <rFont val="Cambria"/>
      </rPr>
      <t xml:space="preserve">Denominator – </t>
    </r>
    <r>
      <rPr>
        <sz val="18"/>
        <rFont val="Cambria"/>
      </rPr>
      <t xml:space="preserve"> Total no. of estimated pregnancies *100</t>
    </r>
  </si>
  <si>
    <t>45/-</t>
  </si>
  <si>
    <t>60/-</t>
  </si>
  <si>
    <r>
      <rPr>
        <b/>
        <sz val="18"/>
        <color rgb="FF000000"/>
        <rFont val="Cambria"/>
      </rPr>
      <t>Numerator -</t>
    </r>
    <r>
      <rPr>
        <sz val="18"/>
        <color rgb="FF000000"/>
        <rFont val="Cambria"/>
      </rPr>
      <t xml:space="preserve"> Number of pregnant Woman who received ANC services (As per schedule) in a month                                                              / </t>
    </r>
    <r>
      <rPr>
        <b/>
        <sz val="18"/>
        <color rgb="FF000000"/>
        <rFont val="Cambria"/>
      </rPr>
      <t xml:space="preserve">Denominator - </t>
    </r>
    <r>
      <rPr>
        <sz val="18"/>
        <color rgb="FF000000"/>
        <rFont val="Cambria"/>
      </rPr>
      <t xml:space="preserve">-Total no of register pregnant Woman whose ANC is due that month identified*100 </t>
    </r>
  </si>
  <si>
    <r>
      <rPr>
        <b/>
        <sz val="18"/>
        <color rgb="FF000000"/>
        <rFont val="Cambria"/>
      </rPr>
      <t>Numerator -</t>
    </r>
    <r>
      <rPr>
        <sz val="18"/>
        <color rgb="FF000000"/>
        <rFont val="Cambria"/>
      </rPr>
      <t xml:space="preserve"> No.of newborns who received visits (as per schedule) as per HBNC schedule                                                                           /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Total no.of newborns * 100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</si>
  <si>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 of children who received immunization (as per Schedule) in a month.                                                                            / 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Total no of register children whose immunization was due in that month</t>
    </r>
  </si>
  <si>
    <r>
      <rPr>
        <sz val="18"/>
        <color rgb="FF000000"/>
        <rFont val="Cambria"/>
      </rPr>
      <t xml:space="preserve">Proportion of above 30 years individuals screened for </t>
    </r>
    <r>
      <rPr>
        <b/>
        <sz val="18"/>
        <color rgb="FF000000"/>
        <rFont val="Cambria"/>
      </rPr>
      <t>Hypertension (including repeat yearly screenings for Hypertension)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</si>
  <si>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No. of individuals screened for </t>
    </r>
    <r>
      <rPr>
        <b/>
        <sz val="18"/>
        <color rgb="FF000000"/>
        <rFont val="Cambria"/>
      </rPr>
      <t>Hypertension</t>
    </r>
    <r>
      <rPr>
        <sz val="18"/>
        <color rgb="FF000000"/>
        <rFont val="Cambria"/>
      </rPr>
      <t xml:space="preserve">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>Total population of 30 years &amp; above 30 years of age * 100 Note - (Once hypertension screening of all the targetted population is done, the HWC would be awarded full points in all the subsequent months in that FY)</t>
    </r>
  </si>
  <si>
    <r>
      <rPr>
        <sz val="18"/>
        <color rgb="FF000000"/>
        <rFont val="Cambria"/>
      </rPr>
      <t xml:space="preserve">Proportion of patient of </t>
    </r>
    <r>
      <rPr>
        <b/>
        <sz val="18"/>
        <color rgb="FF000000"/>
        <rFont val="Cambria"/>
      </rPr>
      <t>HYPERTENSION</t>
    </r>
    <r>
      <rPr>
        <sz val="18"/>
        <color rgb="FF000000"/>
        <rFont val="Cambria"/>
      </rPr>
      <t xml:space="preserve"> on Treatment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</si>
  <si>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No. of </t>
    </r>
    <r>
      <rPr>
        <b/>
        <sz val="18"/>
        <color rgb="FF000000"/>
        <rFont val="Cambria"/>
      </rPr>
      <t>HTN</t>
    </r>
    <r>
      <rPr>
        <sz val="18"/>
        <color rgb="FF000000"/>
        <rFont val="Cambria"/>
      </rPr>
      <t xml:space="preserve"> patient who received follow up care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 xml:space="preserve">Total No.of </t>
    </r>
    <r>
      <rPr>
        <b/>
        <sz val="18"/>
        <color rgb="FF000000"/>
        <rFont val="Cambria"/>
      </rPr>
      <t>HTN</t>
    </r>
    <r>
      <rPr>
        <sz val="18"/>
        <color rgb="FF000000"/>
        <rFont val="Cambria"/>
      </rPr>
      <t xml:space="preserve"> patient *100 </t>
    </r>
  </si>
  <si>
    <r>
      <rPr>
        <sz val="18"/>
        <color rgb="FF000000"/>
        <rFont val="Cambria"/>
      </rPr>
      <t xml:space="preserve">Proportion of above 30 years individuals screened for </t>
    </r>
    <r>
      <rPr>
        <b/>
        <sz val="18"/>
        <color rgb="FF000000"/>
        <rFont val="Cambria"/>
      </rPr>
      <t>Diabetes Mellitus</t>
    </r>
  </si>
  <si>
    <r>
      <rPr>
        <b/>
        <sz val="18"/>
        <color rgb="FF000000"/>
        <rFont val="Cambria"/>
      </rPr>
      <t xml:space="preserve">Numerator - </t>
    </r>
    <r>
      <rPr>
        <sz val="18"/>
        <color rgb="FF000000"/>
        <rFont val="Cambria"/>
      </rPr>
      <t xml:space="preserve">No. of individuals screened for </t>
    </r>
    <r>
      <rPr>
        <b/>
        <sz val="18"/>
        <color rgb="FF000000"/>
        <rFont val="Cambria"/>
      </rPr>
      <t>Diabetes Mellitus</t>
    </r>
    <r>
      <rPr>
        <sz val="18"/>
        <color rgb="FF000000"/>
        <rFont val="Cambria"/>
      </rPr>
      <t xml:space="preserve">  / </t>
    </r>
    <r>
      <rPr>
        <b/>
        <sz val="18"/>
        <color rgb="FF000000"/>
        <rFont val="Cambria"/>
      </rPr>
      <t xml:space="preserve">Denominator- Monthly target of </t>
    </r>
    <r>
      <rPr>
        <sz val="18"/>
        <color rgb="FF000000"/>
        <rFont val="Cambria"/>
      </rPr>
      <t>Total population of 30 years &amp; above individuals to be screened (Once DM screening of all the targetted population is done, the HWC would be awarded full points in all the subsequent months in that FY)</t>
    </r>
  </si>
  <si>
    <r>
      <rPr>
        <sz val="18"/>
        <color rgb="FF000000"/>
        <rFont val="Cambria"/>
      </rPr>
      <t xml:space="preserve">Proportion of patient of </t>
    </r>
    <r>
      <rPr>
        <b/>
        <sz val="18"/>
        <color rgb="FF000000"/>
        <rFont val="Cambria"/>
      </rPr>
      <t>Diabetes Mellitus</t>
    </r>
    <r>
      <rPr>
        <sz val="18"/>
        <color rgb="FF000000"/>
        <rFont val="Cambria"/>
      </rPr>
      <t xml:space="preserve">  on Treatment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</si>
  <si>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No. of  </t>
    </r>
    <r>
      <rPr>
        <b/>
        <sz val="18"/>
        <color rgb="FF000000"/>
        <rFont val="Cambria"/>
      </rPr>
      <t>DM</t>
    </r>
    <r>
      <rPr>
        <sz val="18"/>
        <color rgb="FF000000"/>
        <rFont val="Cambria"/>
      </rPr>
      <t xml:space="preserve">  patient who received follow up care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 xml:space="preserve">Total No.of  </t>
    </r>
    <r>
      <rPr>
        <b/>
        <sz val="18"/>
        <color rgb="FF000000"/>
        <rFont val="Cambria"/>
      </rPr>
      <t>DM</t>
    </r>
    <r>
      <rPr>
        <sz val="18"/>
        <color rgb="FF000000"/>
        <rFont val="Cambria"/>
      </rPr>
      <t xml:space="preserve"> patient *100</t>
    </r>
  </si>
  <si>
    <r>
      <rPr>
        <sz val="18"/>
        <color rgb="FF000000"/>
        <rFont val="Cambria"/>
      </rPr>
      <t>Proportion of cases referred for</t>
    </r>
    <r>
      <rPr>
        <b/>
        <sz val="18"/>
        <color rgb="FF000000"/>
        <rFont val="Cambria"/>
      </rPr>
      <t xml:space="preserve"> TB </t>
    </r>
    <r>
      <rPr>
        <sz val="18"/>
        <color rgb="FF000000"/>
        <rFont val="Cambria"/>
      </rPr>
      <t xml:space="preserve"> Screening </t>
    </r>
  </si>
  <si>
    <r>
      <rPr>
        <b/>
        <sz val="18"/>
        <color rgb="FF000000"/>
        <rFont val="Cambria"/>
      </rPr>
      <t xml:space="preserve">Numerator- </t>
    </r>
    <r>
      <rPr>
        <sz val="18"/>
        <color rgb="FF000000"/>
        <rFont val="Cambria"/>
      </rPr>
      <t xml:space="preserve">No of suspected TB Cases referred for Diagnosis     / </t>
    </r>
    <r>
      <rPr>
        <b/>
        <sz val="18"/>
        <color rgb="FF000000"/>
        <rFont val="Cambria"/>
      </rPr>
      <t xml:space="preserve">Denominator- </t>
    </r>
    <r>
      <rPr>
        <sz val="18"/>
        <color rgb="FF000000"/>
        <rFont val="Cambria"/>
      </rPr>
      <t>Total no of patients attented in OPD Target - Minimum 3% cases identified from OPD should have been referred for screening of TB at a higher facility</t>
    </r>
  </si>
  <si>
    <t>50/-</t>
  </si>
  <si>
    <r>
      <rPr>
        <b/>
        <sz val="18"/>
        <color rgb="FF000000"/>
        <rFont val="Cambria"/>
      </rPr>
      <t>Numerator - Total Houses visited</t>
    </r>
    <r>
      <rPr>
        <sz val="18"/>
        <color rgb="FF000000"/>
        <rFont val="Cambria"/>
      </rPr>
      <t xml:space="preserve">                                                                                               / </t>
    </r>
    <r>
      <rPr>
        <b/>
        <sz val="18"/>
        <color rgb="FF000000"/>
        <rFont val="Cambria"/>
      </rPr>
      <t>Denominator -</t>
    </r>
    <r>
      <rPr>
        <sz val="18"/>
        <color rgb="FF000000"/>
        <rFont val="Cambria"/>
      </rPr>
      <t xml:space="preserve"> Against Target</t>
    </r>
  </si>
  <si>
    <t xml:space="preserve">Name &amp; Signature of ASHA     </t>
  </si>
  <si>
    <t>Performance Based Incentive Indicators for CHO,MPW &amp; ASHA</t>
  </si>
  <si>
    <t>Source of Verification/ Reporting</t>
  </si>
  <si>
    <t>SC Target</t>
  </si>
  <si>
    <t>Yearly Target</t>
  </si>
  <si>
    <t>Monthly Target 100%</t>
  </si>
  <si>
    <t>Daily Target</t>
  </si>
  <si>
    <t>75% of Monthly</t>
  </si>
  <si>
    <t>No of estimated pregnancies registered (In first trimister)</t>
  </si>
  <si>
    <t>No of pregnant Woman registered who received ANC</t>
  </si>
  <si>
    <t xml:space="preserve">No of Newborns who received HBNC visits </t>
  </si>
  <si>
    <t>No of  Children up to 2 years of age who received immunization (DPT Booster Target - including all previous immunisation completed)</t>
  </si>
  <si>
    <t>No of above 30 years individuals screened for Hypertension</t>
  </si>
  <si>
    <t>No of patient of HYPERTENSION on Treatment</t>
  </si>
  <si>
    <t>No of above 30 years individuals screened for Diabetes Mellitus</t>
  </si>
  <si>
    <t>No of patient of Diabetes Mellitus  on Treatment</t>
  </si>
  <si>
    <t>Number of OPD cases (Old+New)</t>
  </si>
  <si>
    <t>AB-HWC Portal / HWC-SHS  Register</t>
  </si>
  <si>
    <t xml:space="preserve">No of cases referred for TB  Screening </t>
  </si>
  <si>
    <t>HWC Teleconsulatation service provide</t>
  </si>
  <si>
    <t>e-Sanjeevani Portal</t>
  </si>
  <si>
    <t>Yoga Sessions organised &amp; wellness activities held as per annual health calender including Health Mela at HWC</t>
  </si>
  <si>
    <t xml:space="preserve">AB-HWC Portal  </t>
  </si>
  <si>
    <t>SC-HWC Register</t>
  </si>
  <si>
    <t>Important Note</t>
  </si>
  <si>
    <t>1. Insert RCH ANC Target of your SC in No 1</t>
  </si>
  <si>
    <t>2. Insert RCH ANC Target of your SC in No 2</t>
  </si>
  <si>
    <t>3. HBNC Scheduled visits 6 for every one single child, per day visited no of Childs to be mentioned in table No 1 No 3</t>
  </si>
  <si>
    <t>4. Insert Child Registration Target (DPT Booster-including all previous immunisation completed ) of your SC in No 4</t>
  </si>
  <si>
    <t>5 Once CBAC of all targeted population is done, the HWC would be awareded full points in all subsequent months un that FY No 5</t>
  </si>
  <si>
    <t>6 37% population above 30 years No 6</t>
  </si>
  <si>
    <t>7 23.75% patients need treatment after Final diagnosis for Hypertension including followup patients No 7</t>
  </si>
  <si>
    <t xml:space="preserve">8 37% population above 30 years for DM screening and 13% of DM for treatment including followup No 8 </t>
  </si>
  <si>
    <t>9 37% population above 30 years for DM screening and 13% of DM for treatment including followup No  9</t>
  </si>
  <si>
    <t>OPD 6% of total population per month</t>
  </si>
  <si>
    <t>10 TB Screening minimum 3 % from OPD Cases in each month No 10</t>
  </si>
  <si>
    <t>11 Actual referred cases from SC to higher facility No 11</t>
  </si>
  <si>
    <t>12 2 calls daily for HWC consultation No 12</t>
  </si>
  <si>
    <t>13 Yoga session + Wellness activity as per annual health calander</t>
  </si>
  <si>
    <t>14 JAS meeting per month</t>
  </si>
  <si>
    <t>15 VHSND - 3 target per month for SC Villages</t>
  </si>
  <si>
    <t>16 Mention Total polpulation of SC, OPD 6% of total population per month for No 16</t>
  </si>
  <si>
    <t>17 10 Home visits per day for 26 working days , Individually CHO needs to give home visits</t>
  </si>
  <si>
    <t>IMP Note</t>
  </si>
  <si>
    <t>The population less than 1000 of any HWC SC have target of OPD  will be 150</t>
  </si>
  <si>
    <t xml:space="preserve">Month : </t>
  </si>
  <si>
    <t>Name of ASHA :</t>
  </si>
  <si>
    <t>Month :</t>
  </si>
  <si>
    <t>Village :</t>
  </si>
  <si>
    <t>SC :</t>
  </si>
  <si>
    <t xml:space="preserve">PHC: </t>
  </si>
  <si>
    <t>Taluka :</t>
  </si>
  <si>
    <t>District :</t>
  </si>
  <si>
    <t xml:space="preserve">Asha Name :  </t>
  </si>
  <si>
    <t xml:space="preserve">District : a</t>
  </si>
  <si>
    <t xml:space="preserve">Taluka : a</t>
  </si>
  <si>
    <t xml:space="preserve">PHC : a</t>
  </si>
  <si>
    <t xml:space="preserve">SC : a</t>
  </si>
  <si>
    <t xml:space="preserve">Village : a</t>
  </si>
  <si>
    <t xml:space="preserve">Month : a</t>
  </si>
  <si>
    <t xml:space="preserve">Asha Name :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</si>
</sst>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rgb="FF000000"/>
      <name val="Calibri"/>
      <scheme val="minor"/>
    </font>
    <font>
      <b/>
      <sz val="22"/>
      <name val="Cambria"/>
    </font>
    <font>
      <sz val="11"/>
      <name val="Calibri"/>
    </font>
    <font>
      <b/>
      <sz val="20"/>
      <name val="Cambria"/>
    </font>
    <font>
      <sz val="14"/>
      <name val="Calibri"/>
    </font>
    <font>
      <sz val="16"/>
      <color rgb="FF000000"/>
      <name val="Calibri"/>
    </font>
    <font>
      <sz val="20"/>
      <color rgb="FF000000"/>
      <name val="Cambria"/>
    </font>
    <font>
      <sz val="16"/>
      <name val="Calibri"/>
    </font>
    <font>
      <sz val="20"/>
      <name val="Cambria"/>
    </font>
    <font>
      <b/>
      <sz val="24"/>
      <name val="Calibri"/>
    </font>
    <font>
      <b/>
      <sz val="11"/>
      <name val="Calibri"/>
    </font>
    <font>
      <sz val="11"/>
      <name val="Calibri"/>
    </font>
    <font>
      <sz val="12"/>
      <name val="Cambria"/>
    </font>
    <font>
      <b/>
      <sz val="18"/>
      <name val="Cambria"/>
    </font>
    <font>
      <b/>
      <sz val="22"/>
      <color rgb="FF000000"/>
      <name val="Cambria"/>
    </font>
    <font>
      <b/>
      <sz val="16"/>
      <color rgb="FF000000"/>
      <name val="Cambria"/>
    </font>
    <font>
      <sz val="22"/>
      <color rgb="FF000000"/>
      <name val="Cambria"/>
    </font>
    <font>
      <sz val="18"/>
      <name val="Cambria"/>
    </font>
    <font>
      <sz val="18"/>
      <color rgb="FF000000"/>
      <name val="Cambria"/>
    </font>
    <font>
      <b/>
      <sz val="18"/>
      <color rgb="FF000000"/>
      <name val="Cambria"/>
    </font>
    <font>
      <b/>
      <sz val="16"/>
      <name val="Calibri"/>
    </font>
    <font>
      <b/>
      <sz val="16"/>
      <color rgb="FF000000"/>
      <name val="Calibri"/>
    </font>
    <font>
      <b/>
      <sz val="26"/>
      <name val="Calibri"/>
    </font>
    <font>
      <b/>
      <sz val="20"/>
      <color rgb="FF000000"/>
      <name val="Cambria"/>
    </font>
    <font>
      <b/>
      <sz val="12"/>
      <name val="Cambria"/>
    </font>
    <font>
      <sz val="16"/>
      <color rgb="FF000000"/>
      <name val="Cambria"/>
    </font>
    <font>
      <b/>
      <sz val="12"/>
      <color rgb="FF000000"/>
      <name val="Cambria"/>
    </font>
    <font>
      <b/>
      <sz val="14"/>
      <color rgb="FF000000"/>
      <name val="Cambria"/>
    </font>
    <font>
      <b/>
      <sz val="20"/>
      <name val="Calibri"/>
    </font>
    <font>
      <sz val="36"/>
      <name val="Calibri"/>
    </font>
    <font>
      <b/>
      <sz val="12"/>
      <name val="Calibri"/>
    </font>
    <font>
      <sz val="20"/>
      <name val="Calibri"/>
    </font>
    <font>
      <sz val="24"/>
      <name val="Calibri"/>
    </font>
    <font>
      <b/>
      <sz val="24"/>
      <color rgb="FF000000"/>
      <name val="Calibri"/>
    </font>
    <font>
      <sz val="24"/>
      <color rgb="FF000000"/>
      <name val="Calibri"/>
    </font>
    <font>
      <sz val="20"/>
      <color rgb="FF000000"/>
      <name val="Calibri"/>
    </font>
    <font>
      <b/>
      <sz val="26"/>
      <color rgb="FFFF0000"/>
      <name val="Calibri"/>
    </font>
    <font>
      <b/>
      <sz val="20"/>
      <color rgb="FFFF0000"/>
      <name val="Calibri"/>
    </font>
    <font>
      <b/>
      <sz val="24"/>
      <color rgb="FFFF0000"/>
      <name val="Calibri"/>
    </font>
    <font>
      <sz val="11"/>
      <color rgb="FFFF0000"/>
      <name val="Calibri"/>
    </font>
    <font>
      <b/>
      <sz val="22"/>
      <name val="Cambria"/>
      <family val="1"/>
    </font>
    <font>
      <b/>
      <sz val="2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5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1" fontId="18" fillId="4" borderId="2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3" fillId="0" borderId="4" xfId="0" applyFont="1" applyBorder="1" applyAlignment="1">
      <alignment vertical="center" wrapText="1"/>
    </xf>
    <xf numFmtId="0" fontId="15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10" xfId="0" applyFont="1" applyBorder="1" applyAlignment="1">
      <alignment vertical="center" wrapText="1"/>
    </xf>
    <xf numFmtId="0" fontId="18" fillId="4" borderId="10" xfId="0" applyFont="1" applyFill="1" applyBorder="1" applyAlignment="1">
      <alignment horizontal="center" vertical="center" wrapText="1"/>
    </xf>
    <xf numFmtId="1" fontId="18" fillId="4" borderId="10" xfId="0" applyNumberFormat="1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right" vertical="center" wrapText="1"/>
    </xf>
    <xf numFmtId="0" fontId="25" fillId="0" borderId="0" xfId="0" applyFont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6" fillId="0" borderId="9" xfId="0" applyFont="1" applyBorder="1" applyAlignment="1">
      <alignment horizontal="right"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11" fillId="0" borderId="0" xfId="0" applyFont="1"/>
    <xf numFmtId="0" fontId="23" fillId="5" borderId="10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1" fontId="9" fillId="3" borderId="10" xfId="0" applyNumberFormat="1" applyFont="1" applyFill="1" applyBorder="1" applyAlignment="1">
      <alignment horizontal="center" vertical="center"/>
    </xf>
    <xf numFmtId="1" fontId="32" fillId="2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1" fontId="9" fillId="2" borderId="10" xfId="0" applyNumberFormat="1" applyFont="1" applyFill="1" applyBorder="1" applyAlignment="1">
      <alignment horizontal="center" vertical="center"/>
    </xf>
    <xf numFmtId="1" fontId="33" fillId="2" borderId="10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 wrapText="1"/>
    </xf>
    <xf numFmtId="1" fontId="33" fillId="6" borderId="10" xfId="0" applyNumberFormat="1" applyFont="1" applyFill="1" applyBorder="1" applyAlignment="1">
      <alignment horizontal="center" vertical="center" wrapText="1"/>
    </xf>
    <xf numFmtId="1" fontId="33" fillId="3" borderId="10" xfId="0" applyNumberFormat="1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1" fontId="34" fillId="2" borderId="10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top"/>
    </xf>
    <xf numFmtId="0" fontId="11" fillId="0" borderId="0" xfId="0" applyFont="1" applyAlignment="1">
      <alignment horizontal="center" wrapText="1"/>
    </xf>
    <xf numFmtId="0" fontId="36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/>
    <xf numFmtId="0" fontId="22" fillId="0" borderId="0" xfId="0" applyFont="1"/>
    <xf numFmtId="0" fontId="9" fillId="0" borderId="0" xfId="0" applyFont="1"/>
    <xf numFmtId="0" fontId="37" fillId="0" borderId="0" xfId="0" applyFont="1" applyAlignment="1">
      <alignment horizontal="center" vertical="top"/>
    </xf>
    <xf numFmtId="0" fontId="38" fillId="0" borderId="0" xfId="0" applyFont="1"/>
    <xf numFmtId="0" fontId="39" fillId="0" borderId="0" xfId="0" applyFont="1" applyAlignment="1">
      <alignment horizontal="center" wrapText="1"/>
    </xf>
    <xf numFmtId="0" fontId="39" fillId="0" borderId="0" xfId="0" applyFont="1"/>
    <xf numFmtId="0" fontId="38" fillId="0" borderId="0" xfId="0" applyFont="1" applyAlignment="1">
      <alignment horizontal="center" wrapText="1"/>
    </xf>
    <xf numFmtId="0" fontId="40" fillId="4" borderId="23" xfId="0" applyFont="1" applyFill="1" applyBorder="1" applyAlignment="1">
      <alignment horizontal="right" vertical="center" wrapText="1"/>
    </xf>
    <xf numFmtId="0" fontId="0" fillId="0" borderId="0" xfId="0" applyFont="1" applyAlignment="1"/>
    <xf numFmtId="0" fontId="20" fillId="0" borderId="22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2" fillId="0" borderId="22" xfId="0" applyFont="1" applyBorder="1"/>
    <xf numFmtId="0" fontId="7" fillId="0" borderId="30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left" vertical="center"/>
    </xf>
    <xf numFmtId="0" fontId="2" fillId="0" borderId="25" xfId="0" applyFont="1" applyBorder="1"/>
    <xf numFmtId="0" fontId="2" fillId="0" borderId="26" xfId="0" applyFont="1" applyBorder="1"/>
    <xf numFmtId="0" fontId="9" fillId="0" borderId="13" xfId="0" applyFont="1" applyBorder="1" applyAlignment="1">
      <alignment horizontal="left" vertical="top" wrapText="1"/>
    </xf>
    <xf numFmtId="0" fontId="0" fillId="0" borderId="0" xfId="0" applyFont="1" applyAlignment="1"/>
    <xf numFmtId="0" fontId="2" fillId="0" borderId="14" xfId="0" applyFont="1" applyBorder="1"/>
    <xf numFmtId="0" fontId="13" fillId="0" borderId="6" xfId="0" applyFont="1" applyBorder="1" applyAlignment="1">
      <alignment horizontal="left" vertical="center"/>
    </xf>
    <xf numFmtId="0" fontId="2" fillId="0" borderId="7" xfId="0" applyFont="1" applyBorder="1"/>
    <xf numFmtId="0" fontId="2" fillId="0" borderId="5" xfId="0" applyFont="1" applyBorder="1"/>
    <xf numFmtId="0" fontId="13" fillId="0" borderId="4" xfId="0" applyFont="1" applyBorder="1" applyAlignment="1">
      <alignment horizontal="left" vertical="center"/>
    </xf>
    <xf numFmtId="0" fontId="2" fillId="0" borderId="8" xfId="0" applyFont="1" applyBorder="1"/>
    <xf numFmtId="0" fontId="19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3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0" fontId="41" fillId="0" borderId="13" xfId="0" applyFont="1" applyBorder="1" applyAlignment="1">
      <alignment horizontal="left" vertical="top" wrapText="1"/>
    </xf>
    <xf numFmtId="0" fontId="28" fillId="0" borderId="22" xfId="0" applyFont="1" applyBorder="1" applyAlignment="1">
      <alignment horizontal="left" vertical="top" wrapText="1"/>
    </xf>
    <xf numFmtId="0" fontId="28" fillId="0" borderId="28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1" fontId="18" fillId="4" borderId="17" xfId="0" applyNumberFormat="1" applyFont="1" applyFill="1" applyBorder="1" applyAlignment="1">
      <alignment horizontal="center" vertical="center" wrapText="1"/>
    </xf>
    <xf numFmtId="0" fontId="2" fillId="0" borderId="20" xfId="0" applyFont="1" applyBorder="1"/>
    <xf numFmtId="0" fontId="16" fillId="3" borderId="12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8" fillId="0" borderId="17" xfId="0" applyFont="1" applyBorder="1" applyAlignment="1">
      <alignment horizontal="left" vertical="center" wrapText="1"/>
    </xf>
    <xf numFmtId="0" fontId="17" fillId="4" borderId="18" xfId="0" applyFont="1" applyFill="1" applyBorder="1" applyAlignment="1">
      <alignment horizontal="right" vertical="center" wrapText="1"/>
    </xf>
    <xf numFmtId="0" fontId="2" fillId="0" borderId="21" xfId="0" applyFont="1" applyBorder="1"/>
    <xf numFmtId="0" fontId="17" fillId="0" borderId="17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  <xf numFmtId="1" fontId="17" fillId="4" borderId="17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17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center" vertical="center"/>
    </xf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0"/>
  <sheetViews>
    <sheetView zoomScale="55" zoomScaleNormal="55" workbookViewId="0">
      <pane ySplit="4" topLeftCell="A5" activePane="bottomLeft" state="frozen"/>
      <selection pane="bottomLeft" activeCell="AL22" sqref="AL22"/>
    </sheetView>
  </sheetViews>
  <sheetFormatPr defaultColWidth="14.44140625" defaultRowHeight="15" customHeight="1"/>
  <cols>
    <col min="1" max="1" width="5.109375" customWidth="1"/>
    <col min="2" max="2" width="85.6640625" customWidth="1"/>
    <col min="3" max="33" width="7.5546875" customWidth="1"/>
    <col min="34" max="34" width="8.77734375" customWidth="1"/>
  </cols>
  <sheetData>
    <row r="1" spans="1:35" ht="48.75" customHeight="1">
      <c r="A1" s="100" t="s">
        <v>82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2"/>
    </row>
    <row r="2" spans="1:35" ht="38.25" customHeight="1">
      <c r="A2" s="98" t="s">
        <v>160</v>
      </c>
      <c r="B2" s="97"/>
      <c r="C2" s="95" t="s">
        <v>161</v>
      </c>
      <c r="D2" s="96"/>
      <c r="E2" s="96"/>
      <c r="F2" s="96"/>
      <c r="G2" s="96"/>
      <c r="H2" s="96"/>
      <c r="I2" s="96"/>
      <c r="J2" s="96"/>
      <c r="K2" s="96"/>
      <c r="L2" s="97"/>
      <c r="M2" s="95" t="s">
        <v>162</v>
      </c>
      <c r="N2" s="96"/>
      <c r="O2" s="96"/>
      <c r="P2" s="96"/>
      <c r="Q2" s="96"/>
      <c r="R2" s="96"/>
      <c r="S2" s="96"/>
      <c r="T2" s="96"/>
      <c r="U2" s="97"/>
      <c r="V2" s="95" t="s">
        <v>163</v>
      </c>
      <c r="W2" s="96"/>
      <c r="X2" s="96"/>
      <c r="Y2" s="96"/>
      <c r="Z2" s="96"/>
      <c r="AA2" s="97"/>
      <c r="AB2" s="95" t="s">
        <v>164</v>
      </c>
      <c r="AC2" s="96"/>
      <c r="AD2" s="96"/>
      <c r="AE2" s="96"/>
      <c r="AF2" s="96"/>
      <c r="AG2" s="96"/>
      <c r="AH2" s="99"/>
    </row>
    <row r="3" spans="1:35" ht="38.25" customHeight="1">
      <c r="A3" s="98" t="s">
        <v>166</v>
      </c>
      <c r="B3" s="97"/>
      <c r="C3" s="103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7"/>
      <c r="V3" s="95" t="s">
        <v>165</v>
      </c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9"/>
    </row>
    <row r="4" spans="1:35" ht="28.5" customHeight="1">
      <c r="A4" s="31" t="s">
        <v>0</v>
      </c>
      <c r="B4" s="42" t="s">
        <v>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2" t="s">
        <v>2</v>
      </c>
    </row>
    <row r="5" spans="1:35" ht="67.5" customHeight="1">
      <c r="A5" s="1">
        <v>1</v>
      </c>
      <c r="B5" s="2" t="s">
        <v>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ref="AH5:AH21" si="0">SUM(C5:AG5)</f>
        <v>0</v>
      </c>
    </row>
    <row r="6" spans="1:35" ht="67.5" customHeight="1">
      <c r="A6" s="1">
        <v>2</v>
      </c>
      <c r="B6" s="5" t="s">
        <v>4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 t="shared" si="0"/>
        <v>0</v>
      </c>
    </row>
    <row r="7" spans="1:35" ht="84" customHeight="1">
      <c r="A7" s="1">
        <v>3</v>
      </c>
      <c r="B7" s="2" t="s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f t="shared" si="0"/>
        <v>0</v>
      </c>
    </row>
    <row r="8" spans="1:35" ht="67.5" customHeight="1">
      <c r="A8" s="1">
        <v>4</v>
      </c>
      <c r="B8" s="2" t="s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 t="shared" si="0"/>
        <v>0</v>
      </c>
    </row>
    <row r="9" spans="1:35" ht="67.5" customHeight="1">
      <c r="A9" s="1">
        <v>5</v>
      </c>
      <c r="B9" s="2" t="s">
        <v>7</v>
      </c>
      <c r="C9" s="3">
        <v>1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3</v>
      </c>
      <c r="N9" s="3">
        <v>0</v>
      </c>
      <c r="O9" s="3">
        <v>3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3</v>
      </c>
      <c r="W9" s="3">
        <v>0</v>
      </c>
      <c r="X9" s="3">
        <v>2</v>
      </c>
      <c r="Y9" s="3">
        <v>3</v>
      </c>
      <c r="Z9" s="3">
        <v>0</v>
      </c>
      <c r="AA9" s="3">
        <v>0</v>
      </c>
      <c r="AB9" s="3">
        <v>5</v>
      </c>
      <c r="AC9" s="3">
        <v>3</v>
      </c>
      <c r="AD9" s="3">
        <v>0</v>
      </c>
      <c r="AE9" s="3">
        <v>0</v>
      </c>
      <c r="AF9" s="3">
        <v>0</v>
      </c>
      <c r="AG9" s="3">
        <v>0</v>
      </c>
      <c r="AH9" s="4">
        <f t="shared" si="0"/>
        <v>0</v>
      </c>
    </row>
    <row r="10" spans="1:35" ht="90" customHeight="1">
      <c r="A10" s="1">
        <v>6</v>
      </c>
      <c r="B10" s="2" t="s">
        <v>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5</v>
      </c>
      <c r="R10" s="3">
        <v>2</v>
      </c>
      <c r="S10" s="3">
        <v>0</v>
      </c>
      <c r="T10" s="3">
        <v>0</v>
      </c>
      <c r="U10" s="3">
        <v>1</v>
      </c>
      <c r="V10" s="3">
        <v>1</v>
      </c>
      <c r="W10" s="3">
        <v>0</v>
      </c>
      <c r="X10" s="3">
        <v>1</v>
      </c>
      <c r="Y10" s="3">
        <v>0</v>
      </c>
      <c r="Z10" s="3">
        <v>0</v>
      </c>
      <c r="AA10" s="3">
        <v>7</v>
      </c>
      <c r="AB10" s="3">
        <v>0</v>
      </c>
      <c r="AC10" s="3">
        <v>0</v>
      </c>
      <c r="AD10" s="3">
        <v>0</v>
      </c>
      <c r="AE10" s="3">
        <v>0</v>
      </c>
      <c r="AF10" s="3">
        <v>3</v>
      </c>
      <c r="AG10" s="3">
        <v>0</v>
      </c>
      <c r="AH10" s="4">
        <f t="shared" si="0"/>
        <v>0</v>
      </c>
    </row>
    <row r="11" spans="1:35" ht="67.5" customHeight="1">
      <c r="A11" s="1">
        <v>7</v>
      </c>
      <c r="B11" s="2" t="s">
        <v>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3</v>
      </c>
      <c r="AD11" s="3">
        <v>0</v>
      </c>
      <c r="AE11" s="3">
        <v>0</v>
      </c>
      <c r="AF11" s="3">
        <v>0</v>
      </c>
      <c r="AG11" s="3">
        <v>0</v>
      </c>
      <c r="AH11" s="4">
        <f t="shared" si="0"/>
        <v>0</v>
      </c>
    </row>
    <row r="12" spans="1:35" ht="67.5" customHeight="1">
      <c r="A12" s="1">
        <v>8</v>
      </c>
      <c r="B12" s="2" t="s">
        <v>10</v>
      </c>
      <c r="C12" s="3">
        <v>4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</v>
      </c>
      <c r="Q12" s="3">
        <v>2</v>
      </c>
      <c r="R12" s="3">
        <v>10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2</v>
      </c>
      <c r="Y12" s="3">
        <v>0</v>
      </c>
      <c r="Z12" s="3">
        <v>0</v>
      </c>
      <c r="AA12" s="3">
        <v>0</v>
      </c>
      <c r="AB12" s="3">
        <v>0</v>
      </c>
      <c r="AC12" s="3">
        <v>2</v>
      </c>
      <c r="AD12" s="3">
        <v>0</v>
      </c>
      <c r="AE12" s="3">
        <v>0</v>
      </c>
      <c r="AF12" s="3">
        <v>1</v>
      </c>
      <c r="AG12" s="3">
        <v>1</v>
      </c>
      <c r="AH12" s="4">
        <f t="shared" si="0"/>
        <v>0</v>
      </c>
    </row>
    <row r="13" spans="1:35" ht="67.5" customHeight="1">
      <c r="A13" s="1">
        <v>9</v>
      </c>
      <c r="B13" s="2" t="s">
        <v>11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1</v>
      </c>
      <c r="AG13" s="3">
        <v>0</v>
      </c>
      <c r="AH13" s="4">
        <f t="shared" si="0"/>
        <v>0</v>
      </c>
    </row>
    <row r="14" spans="1:35" ht="67.5" customHeight="1">
      <c r="A14" s="1">
        <v>10</v>
      </c>
      <c r="B14" s="2" t="s">
        <v>12</v>
      </c>
      <c r="C14" s="3">
        <v>0</v>
      </c>
      <c r="D14" s="3">
        <v>1</v>
      </c>
      <c r="E14" s="3">
        <v>2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1</v>
      </c>
      <c r="M14" s="3">
        <v>3</v>
      </c>
      <c r="N14" s="3">
        <v>0</v>
      </c>
      <c r="O14" s="3">
        <v>2</v>
      </c>
      <c r="P14" s="3">
        <v>0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0</v>
      </c>
      <c r="W14" s="3">
        <v>3</v>
      </c>
      <c r="X14" s="3">
        <v>2</v>
      </c>
      <c r="Y14" s="3">
        <v>0</v>
      </c>
      <c r="Z14" s="3">
        <v>0</v>
      </c>
      <c r="AA14" s="3">
        <v>2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f t="shared" si="0"/>
        <v>0</v>
      </c>
    </row>
    <row r="15" spans="1:35" ht="67.5" customHeight="1">
      <c r="A15" s="1">
        <v>11</v>
      </c>
      <c r="B15" s="2" t="s">
        <v>13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f t="shared" si="0"/>
        <v>0</v>
      </c>
      <c r="AI15" s="88"/>
    </row>
    <row r="16" spans="1:35" ht="67.5" customHeight="1">
      <c r="A16" s="1">
        <v>12</v>
      </c>
      <c r="B16" s="2" t="s">
        <v>14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f t="shared" si="0"/>
        <v>0</v>
      </c>
    </row>
    <row r="17" spans="1:34" ht="67.5" customHeight="1">
      <c r="A17" s="1">
        <v>13</v>
      </c>
      <c r="B17" s="2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0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</v>
      </c>
      <c r="AG17" s="3">
        <v>0</v>
      </c>
      <c r="AH17" s="4">
        <f t="shared" si="0"/>
        <v>0</v>
      </c>
    </row>
    <row r="18" spans="1:34" ht="67.5" customHeight="1">
      <c r="A18" s="6">
        <v>14</v>
      </c>
      <c r="B18" s="2" t="s">
        <v>16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f t="shared" si="0"/>
        <v>0</v>
      </c>
    </row>
    <row r="19" spans="1:34" ht="67.5" customHeight="1">
      <c r="A19" s="6">
        <v>15</v>
      </c>
      <c r="B19" s="2" t="s">
        <v>17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>
        <v>0</v>
      </c>
      <c r="X19" s="3">
        <v>0</v>
      </c>
      <c r="Y19" s="3">
        <v>0</v>
      </c>
      <c r="Z19" s="3">
        <v>1</v>
      </c>
      <c r="AA19" s="3">
        <v>1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f t="shared" si="0"/>
        <v>0</v>
      </c>
    </row>
    <row r="20" spans="1:34" ht="67.5" customHeight="1">
      <c r="A20" s="6">
        <v>16</v>
      </c>
      <c r="B20" s="2" t="s">
        <v>18</v>
      </c>
      <c r="C20" s="3">
        <v>56</v>
      </c>
      <c r="D20" s="3">
        <v>0</v>
      </c>
      <c r="E20" s="3">
        <v>49</v>
      </c>
      <c r="F20" s="3">
        <v>35</v>
      </c>
      <c r="G20" s="3">
        <v>56</v>
      </c>
      <c r="H20" s="3">
        <v>13</v>
      </c>
      <c r="I20" s="3">
        <v>3</v>
      </c>
      <c r="J20" s="3">
        <v>0</v>
      </c>
      <c r="K20" s="3">
        <v>58</v>
      </c>
      <c r="L20" s="3">
        <v>38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11</v>
      </c>
      <c r="S20" s="3">
        <v>0</v>
      </c>
      <c r="T20" s="3">
        <v>0</v>
      </c>
      <c r="U20" s="3">
        <v>0</v>
      </c>
      <c r="V20" s="3">
        <v>18</v>
      </c>
      <c r="W20" s="3">
        <v>0</v>
      </c>
      <c r="X20" s="3">
        <v>0</v>
      </c>
      <c r="Y20" s="3">
        <v>0</v>
      </c>
      <c r="Z20" s="3">
        <v>26</v>
      </c>
      <c r="AA20" s="3">
        <v>13</v>
      </c>
      <c r="AB20" s="3">
        <v>0</v>
      </c>
      <c r="AC20" s="3">
        <v>0</v>
      </c>
      <c r="AD20" s="3">
        <v>10</v>
      </c>
      <c r="AE20" s="3">
        <v>21</v>
      </c>
      <c r="AF20" s="3">
        <v>31</v>
      </c>
      <c r="AG20" s="3">
        <v>0</v>
      </c>
      <c r="AH20" s="4">
        <f t="shared" si="0"/>
        <v>0</v>
      </c>
    </row>
    <row r="21" spans="1:34" ht="87" customHeight="1">
      <c r="A21" s="6">
        <v>17</v>
      </c>
      <c r="B21" s="2" t="s">
        <v>19</v>
      </c>
      <c r="C21" s="3">
        <v>0</v>
      </c>
      <c r="D21" s="3">
        <v>0</v>
      </c>
      <c r="E21" s="3">
        <v>0</v>
      </c>
      <c r="F21" s="3">
        <v>0</v>
      </c>
      <c r="G21" s="3">
        <v>38</v>
      </c>
      <c r="H21" s="3">
        <v>0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26</v>
      </c>
      <c r="O21" s="3">
        <v>2</v>
      </c>
      <c r="P21" s="3">
        <v>0</v>
      </c>
      <c r="Q21" s="3">
        <v>45</v>
      </c>
      <c r="R21" s="3">
        <v>0</v>
      </c>
      <c r="S21" s="3">
        <v>0</v>
      </c>
      <c r="T21" s="3">
        <v>6</v>
      </c>
      <c r="U21" s="3">
        <v>0</v>
      </c>
      <c r="V21" s="3">
        <v>0</v>
      </c>
      <c r="W21" s="3">
        <v>17</v>
      </c>
      <c r="X21" s="3">
        <v>3</v>
      </c>
      <c r="Y21" s="3">
        <v>5</v>
      </c>
      <c r="Z21" s="3">
        <v>32</v>
      </c>
      <c r="AA21" s="3">
        <v>12</v>
      </c>
      <c r="AB21" s="3">
        <v>3</v>
      </c>
      <c r="AC21" s="3">
        <v>0</v>
      </c>
      <c r="AD21" s="3">
        <v>0</v>
      </c>
      <c r="AE21" s="3">
        <v>0</v>
      </c>
      <c r="AF21" s="3">
        <v>0</v>
      </c>
      <c r="AG21" s="3">
        <v>9</v>
      </c>
      <c r="AH21" s="4">
        <f t="shared" si="0"/>
        <v>0</v>
      </c>
    </row>
    <row r="22" spans="1:34" ht="31.2" customHeight="1">
      <c r="A22" s="92" t="s">
        <v>75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4"/>
    </row>
    <row r="23" spans="1:34" ht="15.7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/>
    </row>
    <row r="24" spans="1:34" ht="15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</row>
    <row r="25" spans="1:34" ht="15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/>
    </row>
    <row r="26" spans="1:34" ht="15.7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9"/>
    </row>
    <row r="27" spans="1:34" ht="15.7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/>
    </row>
    <row r="28" spans="1:34" ht="38.25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04" t="s">
        <v>83</v>
      </c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9"/>
    </row>
    <row r="29" spans="1:34" ht="38.2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89" t="s">
        <v>84</v>
      </c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1"/>
    </row>
    <row r="30" spans="1:34" ht="15.7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4"/>
    </row>
    <row r="31" spans="1:34" ht="15.75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4"/>
    </row>
    <row r="32" spans="1:34" ht="15.75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4"/>
    </row>
    <row r="33" spans="1:34" ht="15.75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4"/>
    </row>
    <row r="34" spans="1:34" ht="15.7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4"/>
    </row>
    <row r="35" spans="1:34" ht="15.75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4"/>
    </row>
    <row r="36" spans="1:34" ht="15.7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4"/>
    </row>
    <row r="37" spans="1:34" ht="15.7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4"/>
    </row>
    <row r="38" spans="1:34" ht="15.75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4"/>
    </row>
    <row r="39" spans="1:34" ht="15.7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4"/>
    </row>
    <row r="40" spans="1:34" ht="15.75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4"/>
    </row>
    <row r="41" spans="1:34" ht="15.75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4"/>
    </row>
    <row r="42" spans="1:34" ht="15.7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4"/>
    </row>
    <row r="43" spans="1:34" ht="15.75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4"/>
    </row>
    <row r="44" spans="1:34" ht="15.75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4"/>
    </row>
    <row r="45" spans="1:34" ht="15.75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4"/>
    </row>
    <row r="46" spans="1:34" ht="15.7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4"/>
    </row>
    <row r="47" spans="1:34" ht="15.75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4"/>
    </row>
    <row r="48" spans="1:34" ht="15.75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4"/>
    </row>
    <row r="49" spans="1:34" ht="15.7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4"/>
    </row>
    <row r="50" spans="1:34" ht="15.75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4"/>
    </row>
    <row r="51" spans="1:34" ht="15.75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4"/>
    </row>
    <row r="52" spans="1:34" ht="15.75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4"/>
    </row>
    <row r="53" spans="1:34" ht="15.75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4"/>
    </row>
    <row r="54" spans="1:34" ht="15.75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4"/>
    </row>
    <row r="55" spans="1:34" ht="15.75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4"/>
    </row>
    <row r="56" spans="1:34" ht="15.75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4"/>
    </row>
    <row r="57" spans="1:34" ht="15.75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4"/>
    </row>
    <row r="58" spans="1:34" ht="15.75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4"/>
    </row>
    <row r="59" spans="1:34" ht="15.75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4"/>
    </row>
    <row r="60" spans="1:34" ht="15.75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4"/>
    </row>
    <row r="61" spans="1:34" ht="15.75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4"/>
    </row>
    <row r="62" spans="1:34" ht="15.75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4"/>
    </row>
    <row r="63" spans="1:34" ht="15.75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4"/>
    </row>
    <row r="64" spans="1:34" ht="15.75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4"/>
    </row>
    <row r="65" spans="1:34" ht="15.75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4"/>
    </row>
    <row r="66" spans="1:34" ht="15.75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4"/>
    </row>
    <row r="67" spans="1:34" ht="15.75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4"/>
    </row>
    <row r="68" spans="1:34" ht="15.75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4"/>
    </row>
    <row r="69" spans="1:34" ht="15.75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4"/>
    </row>
    <row r="70" spans="1:34" ht="15.75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4"/>
    </row>
    <row r="71" spans="1:34" ht="15.75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4"/>
    </row>
    <row r="72" spans="1:34" ht="15.7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4"/>
    </row>
    <row r="73" spans="1:34" ht="15.75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4"/>
    </row>
    <row r="74" spans="1:34" ht="15.7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4"/>
    </row>
    <row r="75" spans="1:34" ht="15.75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4"/>
    </row>
    <row r="76" spans="1:34" ht="15.7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4"/>
    </row>
    <row r="77" spans="1:34" ht="15.75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4"/>
    </row>
    <row r="78" spans="1:34" ht="15.7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4"/>
    </row>
    <row r="79" spans="1:34" ht="15.75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4"/>
    </row>
    <row r="80" spans="1:34" ht="15.7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4"/>
    </row>
    <row r="81" spans="1:34" ht="15.75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4"/>
    </row>
    <row r="82" spans="1:34" ht="15.75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4"/>
    </row>
    <row r="83" spans="1:34" ht="15.75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4"/>
    </row>
    <row r="84" spans="1:34" ht="15.75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4"/>
    </row>
    <row r="85" spans="1:34" ht="15.75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4"/>
    </row>
    <row r="86" spans="1:34" ht="15.75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4"/>
    </row>
    <row r="87" spans="1:34" ht="15.75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4"/>
    </row>
    <row r="88" spans="1:34" ht="15.75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4"/>
    </row>
    <row r="89" spans="1:34" ht="15.75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4"/>
    </row>
    <row r="90" spans="1:34" ht="15.75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4"/>
    </row>
    <row r="91" spans="1:34" ht="15.7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4"/>
    </row>
    <row r="92" spans="1:34" ht="15.75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4"/>
    </row>
    <row r="93" spans="1:34" ht="15.75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4"/>
    </row>
    <row r="94" spans="1:34" ht="15.75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4"/>
    </row>
    <row r="95" spans="1:34" ht="15.75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4"/>
    </row>
    <row r="96" spans="1:34" ht="15.75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4"/>
    </row>
    <row r="97" spans="1:34" ht="15.75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4"/>
    </row>
    <row r="98" spans="1:34" ht="15.75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4"/>
    </row>
    <row r="99" spans="1:34" ht="15.75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4"/>
    </row>
    <row r="100" spans="1:34" ht="15.75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4"/>
    </row>
  </sheetData>
  <mergeCells count="12">
    <mergeCell ref="A1:AH1"/>
    <mergeCell ref="A3:B3"/>
    <mergeCell ref="C3:U3"/>
    <mergeCell ref="V3:AH3"/>
    <mergeCell ref="S28:AH28"/>
    <mergeCell ref="S29:AH29"/>
    <mergeCell ref="A22:AH22"/>
    <mergeCell ref="M2:U2"/>
    <mergeCell ref="A2:B2"/>
    <mergeCell ref="C2:L2"/>
    <mergeCell ref="V2:AA2"/>
    <mergeCell ref="AB2:AH2"/>
  </mergeCells>
  <printOptions horizontalCentered="1"/>
  <pageMargins left="0.25" right="0.25" top="0.25" bottom="0.25" header="0" footer="0"/>
  <pageSetup paperSize="9" orientation="landscape" fitToWidth="1" fitToHeight="1" useFirstPageNumb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0"/>
  <sheetViews>
    <sheetView tabSelected="1" zoomScale="55" zoomScaleNormal="5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M9" sqref="M9"/>
    </sheetView>
  </sheetViews>
  <sheetFormatPr defaultColWidth="14.44140625" defaultRowHeight="15" customHeight="1"/>
  <cols>
    <col min="1" max="1" width="7.44140625" customWidth="1"/>
    <col min="2" max="2" width="68.77734375" customWidth="1"/>
    <col min="3" max="3" width="70.21875" customWidth="1"/>
    <col min="4" max="4" width="27.88671875" customWidth="1"/>
    <col min="5" max="5" width="17.88671875" customWidth="1"/>
    <col min="6" max="7" width="18" customWidth="1"/>
    <col min="8" max="8" width="59.33203125" customWidth="1"/>
    <col min="9" max="9" width="15.33203125" customWidth="1"/>
    <col min="10" max="10" width="18.33203125" customWidth="1"/>
    <col min="11" max="34" width="9.109375" customWidth="1"/>
  </cols>
  <sheetData>
    <row r="1" spans="1:34" ht="35.25" customHeight="1">
      <c r="A1" s="123" t="s">
        <v>85</v>
      </c>
      <c r="B1" s="101"/>
      <c r="C1" s="101"/>
      <c r="D1" s="101"/>
      <c r="E1" s="101"/>
      <c r="F1" s="101"/>
      <c r="G1" s="101"/>
      <c r="H1" s="101"/>
      <c r="I1" s="101"/>
      <c r="J1" s="102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36.75" customHeight="1">
      <c r="A2" s="108" t="s">
        <v>86</v>
      </c>
      <c r="B2" s="96"/>
      <c r="C2" s="96"/>
      <c r="D2" s="96"/>
      <c r="E2" s="96"/>
      <c r="F2" s="96"/>
      <c r="G2" s="96"/>
      <c r="H2" s="96"/>
      <c r="I2" s="96"/>
      <c r="J2" s="9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ht="36.75" customHeight="1">
      <c r="A3" s="17"/>
      <c r="B3" s="18" t="s">
        <v>20</v>
      </c>
      <c r="C3" s="18" t="s">
        <v>76</v>
      </c>
      <c r="D3" s="126" t="s">
        <v>165</v>
      </c>
      <c r="E3" s="127"/>
      <c r="F3" s="127"/>
      <c r="G3" s="127"/>
      <c r="H3" s="43"/>
      <c r="I3" s="43"/>
      <c r="J3" s="4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 spans="1:34" ht="38.25" customHeight="1">
      <c r="A4" s="34" t="s">
        <v>21</v>
      </c>
      <c r="B4" s="18" t="s">
        <v>22</v>
      </c>
      <c r="C4" s="19" t="s">
        <v>21</v>
      </c>
      <c r="D4" s="109" t="s">
        <v>87</v>
      </c>
      <c r="E4" s="96"/>
      <c r="F4" s="96"/>
      <c r="G4" s="96"/>
      <c r="H4" s="110" t="s">
        <v>166</v>
      </c>
      <c r="I4" s="96"/>
      <c r="J4" s="99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1:34" ht="77.25" customHeight="1">
      <c r="A5" s="45" t="s">
        <v>0</v>
      </c>
      <c r="B5" s="35" t="s">
        <v>1</v>
      </c>
      <c r="C5" s="20" t="s">
        <v>23</v>
      </c>
      <c r="D5" s="46" t="s">
        <v>24</v>
      </c>
      <c r="E5" s="46" t="s">
        <v>25</v>
      </c>
      <c r="F5" s="46" t="s">
        <v>26</v>
      </c>
      <c r="G5" s="46" t="s">
        <v>27</v>
      </c>
      <c r="H5" s="47" t="s">
        <v>28</v>
      </c>
      <c r="I5" s="47" t="s">
        <v>29</v>
      </c>
      <c r="J5" s="48" t="s">
        <v>77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48" customHeight="1">
      <c r="A6" s="113">
        <v>1</v>
      </c>
      <c r="B6" s="118" t="s">
        <v>3</v>
      </c>
      <c r="C6" s="118" t="s">
        <v>88</v>
      </c>
      <c r="D6" s="119" t="s">
        <v>78</v>
      </c>
      <c r="E6" s="122">
        <f>'Table ASHA 1'!AH5</f>
        <v>0</v>
      </c>
      <c r="F6" s="125">
        <f>NORM!F3</f>
        <v>0</v>
      </c>
      <c r="G6" s="111" t="e">
        <f>E6*100/ROUND(F6,0)</f>
        <v>#DIV/0!</v>
      </c>
      <c r="H6" s="37" t="s">
        <v>31</v>
      </c>
      <c r="I6" s="38" t="s">
        <v>89</v>
      </c>
      <c r="J6" s="116" t="e">
        <f>IF(E6*100/ROUND(F6,0)&lt;75,0,IF(E6*100/ROUND(F6,0)&gt;=100,60,45))</f>
        <v>#DIV/0!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1:34" ht="48" customHeight="1">
      <c r="A7" s="114"/>
      <c r="B7" s="112"/>
      <c r="C7" s="112"/>
      <c r="D7" s="112"/>
      <c r="E7" s="112"/>
      <c r="F7" s="112"/>
      <c r="G7" s="112"/>
      <c r="H7" s="37" t="s">
        <v>32</v>
      </c>
      <c r="I7" s="38" t="s">
        <v>90</v>
      </c>
      <c r="J7" s="11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 ht="54" customHeight="1">
      <c r="A8" s="113">
        <v>2</v>
      </c>
      <c r="B8" s="115" t="s">
        <v>4</v>
      </c>
      <c r="C8" s="115" t="s">
        <v>91</v>
      </c>
      <c r="D8" s="119" t="s">
        <v>78</v>
      </c>
      <c r="E8" s="122">
        <f>'Table ASHA 1'!AH6</f>
        <v>0</v>
      </c>
      <c r="F8" s="111">
        <f>NORM!F4</f>
        <v>0</v>
      </c>
      <c r="G8" s="111" t="e">
        <f>E8*100/ROUND(F8,0)</f>
        <v>#DIV/0!</v>
      </c>
      <c r="H8" s="37" t="s">
        <v>33</v>
      </c>
      <c r="I8" s="38" t="s">
        <v>89</v>
      </c>
      <c r="J8" s="116" t="e">
        <f>IF(E8*100/ROUND(F8,0)&lt;75,0,IF(E8*100/ROUND(F8,0)&gt;=100,60,45))</f>
        <v>#DIV/0!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79.5" customHeight="1">
      <c r="A9" s="114"/>
      <c r="B9" s="112"/>
      <c r="C9" s="112"/>
      <c r="D9" s="112"/>
      <c r="E9" s="112"/>
      <c r="F9" s="112"/>
      <c r="G9" s="112"/>
      <c r="H9" s="37" t="s">
        <v>34</v>
      </c>
      <c r="I9" s="38" t="s">
        <v>90</v>
      </c>
      <c r="J9" s="11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54" customHeight="1">
      <c r="A10" s="113">
        <v>3</v>
      </c>
      <c r="B10" s="115" t="s">
        <v>35</v>
      </c>
      <c r="C10" s="115" t="s">
        <v>92</v>
      </c>
      <c r="D10" s="121" t="s">
        <v>79</v>
      </c>
      <c r="E10" s="122">
        <f>'Table ASHA 1'!AH7</f>
        <v>0</v>
      </c>
      <c r="F10" s="111">
        <f>NORM!F5</f>
        <v>0</v>
      </c>
      <c r="G10" s="111" t="e">
        <f>E10*100/ROUND(F10,0)</f>
        <v>#DIV/0!</v>
      </c>
      <c r="H10" s="37" t="s">
        <v>36</v>
      </c>
      <c r="I10" s="38" t="s">
        <v>89</v>
      </c>
      <c r="J10" s="116" t="e">
        <f>IF(E10*100/ROUND(F10,0)&lt;75,0,IF(E10*100/ROUND(F10,0)&gt;=100,60,45))</f>
        <v>#DIV/0!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ht="54" customHeight="1">
      <c r="A11" s="114"/>
      <c r="B11" s="112"/>
      <c r="C11" s="112"/>
      <c r="D11" s="112"/>
      <c r="E11" s="112"/>
      <c r="F11" s="112"/>
      <c r="G11" s="112"/>
      <c r="H11" s="37" t="s">
        <v>37</v>
      </c>
      <c r="I11" s="38" t="s">
        <v>90</v>
      </c>
      <c r="J11" s="117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64.5" customHeight="1">
      <c r="A12" s="113">
        <v>4</v>
      </c>
      <c r="B12" s="115" t="s">
        <v>6</v>
      </c>
      <c r="C12" s="115" t="s">
        <v>93</v>
      </c>
      <c r="D12" s="121" t="s">
        <v>80</v>
      </c>
      <c r="E12" s="122">
        <f>'Table ASHA 1'!AH8</f>
        <v>0</v>
      </c>
      <c r="F12" s="111">
        <f>NORM!F6</f>
        <v>0</v>
      </c>
      <c r="G12" s="111" t="e">
        <f>E12*100/ROUND(F12,0)</f>
        <v>#DIV/0!</v>
      </c>
      <c r="H12" s="37" t="s">
        <v>38</v>
      </c>
      <c r="I12" s="38" t="s">
        <v>89</v>
      </c>
      <c r="J12" s="116" t="e">
        <f>IF(E12*100/ROUND(F12,0)&lt;75,0,IF(E12*100/ROUND(F12,0)&gt;=100,60,45))</f>
        <v>#DIV/0!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ht="64.5" customHeight="1">
      <c r="A13" s="114"/>
      <c r="B13" s="112"/>
      <c r="C13" s="112"/>
      <c r="D13" s="112"/>
      <c r="E13" s="112"/>
      <c r="F13" s="112"/>
      <c r="G13" s="112"/>
      <c r="H13" s="37" t="s">
        <v>39</v>
      </c>
      <c r="I13" s="38" t="s">
        <v>90</v>
      </c>
      <c r="J13" s="11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ht="71.25" customHeight="1">
      <c r="A14" s="113">
        <v>5</v>
      </c>
      <c r="B14" s="115" t="s">
        <v>7</v>
      </c>
      <c r="C14" s="124" t="s">
        <v>40</v>
      </c>
      <c r="D14" s="121" t="s">
        <v>41</v>
      </c>
      <c r="E14" s="122">
        <f>'Table ASHA 1'!AH9</f>
        <v>0</v>
      </c>
      <c r="F14" s="111">
        <f>NORM!F7</f>
        <v>0</v>
      </c>
      <c r="G14" s="111" t="e">
        <f>E14*100/ROUND(F14,0)</f>
        <v>#DIV/0!</v>
      </c>
      <c r="H14" s="37" t="s">
        <v>42</v>
      </c>
      <c r="I14" s="38" t="s">
        <v>89</v>
      </c>
      <c r="J14" s="116" t="e">
        <f>IF(E14*100/ROUND(F14,0)&lt;75,0,IF(E14*100/ROUND(F14,0)&gt;=100,60,45))</f>
        <v>#DIV/0!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 ht="71.25" customHeight="1">
      <c r="A15" s="114"/>
      <c r="B15" s="112"/>
      <c r="C15" s="112"/>
      <c r="D15" s="112"/>
      <c r="E15" s="112"/>
      <c r="F15" s="112"/>
      <c r="G15" s="112"/>
      <c r="H15" s="37" t="s">
        <v>43</v>
      </c>
      <c r="I15" s="38" t="s">
        <v>90</v>
      </c>
      <c r="J15" s="11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ht="71.25" customHeight="1">
      <c r="A16" s="113">
        <v>6</v>
      </c>
      <c r="B16" s="115" t="s">
        <v>94</v>
      </c>
      <c r="C16" s="115" t="s">
        <v>95</v>
      </c>
      <c r="D16" s="121" t="s">
        <v>81</v>
      </c>
      <c r="E16" s="122">
        <f>'Table ASHA 1'!AH10</f>
        <v>0</v>
      </c>
      <c r="F16" s="111">
        <f>NORM!F8</f>
        <v>0</v>
      </c>
      <c r="G16" s="111" t="e">
        <f>E16*100/ROUND(F16,0)</f>
        <v>#DIV/0!</v>
      </c>
      <c r="H16" s="37" t="s">
        <v>44</v>
      </c>
      <c r="I16" s="38" t="s">
        <v>89</v>
      </c>
      <c r="J16" s="116" t="e">
        <f>IF(E16*100/ROUND(F16,0)&lt;75,0,IF(E16*100/ROUND(F16,0)&gt;=100,60,45))</f>
        <v>#DIV/0!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ht="71.25" customHeight="1">
      <c r="A17" s="114"/>
      <c r="B17" s="112"/>
      <c r="C17" s="112"/>
      <c r="D17" s="112"/>
      <c r="E17" s="112"/>
      <c r="F17" s="112"/>
      <c r="G17" s="112"/>
      <c r="H17" s="37" t="s">
        <v>45</v>
      </c>
      <c r="I17" s="38" t="s">
        <v>90</v>
      </c>
      <c r="J17" s="117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 ht="63" customHeight="1">
      <c r="A18" s="113">
        <v>7</v>
      </c>
      <c r="B18" s="115" t="s">
        <v>96</v>
      </c>
      <c r="C18" s="115" t="s">
        <v>97</v>
      </c>
      <c r="D18" s="121" t="s">
        <v>81</v>
      </c>
      <c r="E18" s="122">
        <f>'Table ASHA 1'!AH11</f>
        <v>0</v>
      </c>
      <c r="F18" s="111">
        <f>NORM!F9</f>
        <v>0</v>
      </c>
      <c r="G18" s="111" t="e">
        <f>E18*100/ROUND(F18,0)</f>
        <v>#DIV/0!</v>
      </c>
      <c r="H18" s="37" t="s">
        <v>46</v>
      </c>
      <c r="I18" s="38" t="s">
        <v>89</v>
      </c>
      <c r="J18" s="116" t="e">
        <f>IF(E18*100/ROUND(F18,0)&lt;75,0,IF(E18*100/ROUND(F18,0)&gt;=100,60,45))</f>
        <v>#DIV/0!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ht="63" customHeight="1">
      <c r="A19" s="114"/>
      <c r="B19" s="112"/>
      <c r="C19" s="112"/>
      <c r="D19" s="112"/>
      <c r="E19" s="112"/>
      <c r="F19" s="112"/>
      <c r="G19" s="112"/>
      <c r="H19" s="37" t="s">
        <v>47</v>
      </c>
      <c r="I19" s="38" t="s">
        <v>90</v>
      </c>
      <c r="J19" s="117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88.5" customHeight="1">
      <c r="A20" s="113">
        <v>8</v>
      </c>
      <c r="B20" s="121" t="s">
        <v>98</v>
      </c>
      <c r="C20" s="115" t="s">
        <v>99</v>
      </c>
      <c r="D20" s="121" t="s">
        <v>81</v>
      </c>
      <c r="E20" s="122">
        <f>'Table ASHA 1'!AH12</f>
        <v>0</v>
      </c>
      <c r="F20" s="111">
        <f>NORM!F10</f>
        <v>0</v>
      </c>
      <c r="G20" s="111" t="e">
        <f>E20*100/ROUND(F20,0)</f>
        <v>#DIV/0!</v>
      </c>
      <c r="H20" s="37" t="s">
        <v>48</v>
      </c>
      <c r="I20" s="38" t="s">
        <v>89</v>
      </c>
      <c r="J20" s="116" t="e">
        <f>IF(E20*100/ROUND(F20,0)&lt;75,0,IF(E20*100/ROUND(F20,0)&gt;=100,60,45))</f>
        <v>#DIV/0!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 ht="88.5" customHeight="1">
      <c r="A21" s="114"/>
      <c r="B21" s="112"/>
      <c r="C21" s="112"/>
      <c r="D21" s="112"/>
      <c r="E21" s="112"/>
      <c r="F21" s="112"/>
      <c r="G21" s="112"/>
      <c r="H21" s="37" t="s">
        <v>49</v>
      </c>
      <c r="I21" s="38" t="s">
        <v>90</v>
      </c>
      <c r="J21" s="1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 ht="58.5" customHeight="1">
      <c r="A22" s="113">
        <v>9</v>
      </c>
      <c r="B22" s="115" t="s">
        <v>100</v>
      </c>
      <c r="C22" s="115" t="s">
        <v>101</v>
      </c>
      <c r="D22" s="121" t="s">
        <v>81</v>
      </c>
      <c r="E22" s="122">
        <f>'Table ASHA 1'!AH13</f>
        <v>0</v>
      </c>
      <c r="F22" s="111">
        <f>NORM!F11</f>
        <v>0</v>
      </c>
      <c r="G22" s="111" t="e">
        <f>E22*100/ROUND(F22,0)</f>
        <v>#DIV/0!</v>
      </c>
      <c r="H22" s="37" t="s">
        <v>46</v>
      </c>
      <c r="I22" s="38" t="s">
        <v>89</v>
      </c>
      <c r="J22" s="116" t="e">
        <f>IF(E22*100/ROUND(F22,0)&lt;75,0,IF(E22*100/ROUND(F22,0)&gt;=100,60,45))</f>
        <v>#DIV/0!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58.5" customHeight="1">
      <c r="A23" s="114"/>
      <c r="B23" s="112"/>
      <c r="C23" s="112"/>
      <c r="D23" s="112"/>
      <c r="E23" s="112"/>
      <c r="F23" s="112"/>
      <c r="G23" s="112"/>
      <c r="H23" s="37" t="s">
        <v>47</v>
      </c>
      <c r="I23" s="38" t="s">
        <v>90</v>
      </c>
      <c r="J23" s="1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 spans="1:34" ht="58.5" customHeight="1">
      <c r="A24" s="113">
        <v>10</v>
      </c>
      <c r="B24" s="115" t="s">
        <v>102</v>
      </c>
      <c r="C24" s="115" t="s">
        <v>103</v>
      </c>
      <c r="D24" s="121" t="s">
        <v>50</v>
      </c>
      <c r="E24" s="122">
        <f>'Table ASHA 1'!AH14</f>
        <v>0</v>
      </c>
      <c r="F24" s="111">
        <f>NORM!F13</f>
        <v>0</v>
      </c>
      <c r="G24" s="111" t="e">
        <f>E24*100/ROUND(F24,0)</f>
        <v>#DIV/0!</v>
      </c>
      <c r="H24" s="37" t="s">
        <v>51</v>
      </c>
      <c r="I24" s="38" t="s">
        <v>89</v>
      </c>
      <c r="J24" s="116" t="e">
        <f>IF(E24*100/ROUND(F24,0)&lt;75,0,IF(E24*100/ROUND(F24,0)&gt;=100,60,45))</f>
        <v>#DIV/0!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 spans="1:34" ht="58.5" customHeight="1">
      <c r="A25" s="114"/>
      <c r="B25" s="112"/>
      <c r="C25" s="112"/>
      <c r="D25" s="112"/>
      <c r="E25" s="112"/>
      <c r="F25" s="112"/>
      <c r="G25" s="112"/>
      <c r="H25" s="37" t="s">
        <v>52</v>
      </c>
      <c r="I25" s="38" t="s">
        <v>90</v>
      </c>
      <c r="J25" s="1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 spans="1:34" ht="72" customHeight="1">
      <c r="A26" s="113">
        <v>11</v>
      </c>
      <c r="B26" s="115" t="s">
        <v>13</v>
      </c>
      <c r="C26" s="124" t="s">
        <v>53</v>
      </c>
      <c r="D26" s="121" t="s">
        <v>41</v>
      </c>
      <c r="E26" s="122">
        <f>'Table ASHA 1'!AH15</f>
        <v>0</v>
      </c>
      <c r="F26" s="111">
        <f>NORM!F14</f>
        <v>0</v>
      </c>
      <c r="G26" s="111" t="e">
        <f>E26*100/ROUND(F26,0)</f>
        <v>#DIV/0!</v>
      </c>
      <c r="H26" s="37" t="s">
        <v>54</v>
      </c>
      <c r="I26" s="38" t="s">
        <v>89</v>
      </c>
      <c r="J26" s="116" t="e">
        <f>IF(E26*100/ROUND(F26,0)&lt;75,0,IF(E26*100/ROUND(F26,0)&gt;=100,60,45))</f>
        <v>#DIV/0!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 spans="1:34" ht="72" customHeight="1">
      <c r="A27" s="114"/>
      <c r="B27" s="112"/>
      <c r="C27" s="112"/>
      <c r="D27" s="112"/>
      <c r="E27" s="112"/>
      <c r="F27" s="112"/>
      <c r="G27" s="112"/>
      <c r="H27" s="37" t="s">
        <v>55</v>
      </c>
      <c r="I27" s="38" t="s">
        <v>90</v>
      </c>
      <c r="J27" s="1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34" ht="57" customHeight="1">
      <c r="A28" s="113">
        <v>12</v>
      </c>
      <c r="B28" s="128" t="s">
        <v>14</v>
      </c>
      <c r="C28" s="124" t="s">
        <v>56</v>
      </c>
      <c r="D28" s="121" t="s">
        <v>57</v>
      </c>
      <c r="E28" s="122">
        <f>'Table ASHA 1'!AH16</f>
        <v>0</v>
      </c>
      <c r="F28" s="111">
        <f>NORM!F15</f>
        <v>52</v>
      </c>
      <c r="G28" s="111">
        <f>E28*100/ROUND(F28,0)</f>
        <v>0</v>
      </c>
      <c r="H28" s="37" t="s">
        <v>58</v>
      </c>
      <c r="I28" s="38" t="s">
        <v>89</v>
      </c>
      <c r="J28" s="116">
        <f>IF(E28*100/ROUND(F28,0)&lt;75,0,IF(E28*100/ROUND(F28,0)&gt;=100,60,45))</f>
        <v>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34" ht="57" customHeight="1">
      <c r="A29" s="114"/>
      <c r="B29" s="112"/>
      <c r="C29" s="112"/>
      <c r="D29" s="112"/>
      <c r="E29" s="112"/>
      <c r="F29" s="112"/>
      <c r="G29" s="112"/>
      <c r="H29" s="37" t="s">
        <v>59</v>
      </c>
      <c r="I29" s="38" t="s">
        <v>90</v>
      </c>
      <c r="J29" s="1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34" ht="90" customHeight="1">
      <c r="A30" s="113">
        <v>13</v>
      </c>
      <c r="B30" s="128" t="s">
        <v>15</v>
      </c>
      <c r="C30" s="124" t="s">
        <v>60</v>
      </c>
      <c r="D30" s="121" t="s">
        <v>61</v>
      </c>
      <c r="E30" s="122">
        <f>'Table ASHA 1'!AH17</f>
        <v>0</v>
      </c>
      <c r="F30" s="111">
        <f>NORM!F16</f>
        <v>5</v>
      </c>
      <c r="G30" s="111">
        <f>E30*100/ROUND(F30,0)</f>
        <v>0</v>
      </c>
      <c r="H30" s="37" t="s">
        <v>62</v>
      </c>
      <c r="I30" s="38" t="s">
        <v>89</v>
      </c>
      <c r="J30" s="116">
        <f>IF(E30*100/ROUND(F30,0)&lt;75,0,IF(E30*100/ROUND(F30,0)&gt;=100,60,45))</f>
        <v>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34" ht="90" customHeight="1">
      <c r="A31" s="114"/>
      <c r="B31" s="112"/>
      <c r="C31" s="112"/>
      <c r="D31" s="112"/>
      <c r="E31" s="112"/>
      <c r="F31" s="112"/>
      <c r="G31" s="112"/>
      <c r="H31" s="37" t="s">
        <v>63</v>
      </c>
      <c r="I31" s="38" t="s">
        <v>90</v>
      </c>
      <c r="J31" s="1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34" ht="71.25" customHeight="1">
      <c r="A32" s="21">
        <v>14</v>
      </c>
      <c r="B32" s="2" t="s">
        <v>16</v>
      </c>
      <c r="C32" s="22" t="s">
        <v>64</v>
      </c>
      <c r="D32" s="23" t="s">
        <v>61</v>
      </c>
      <c r="E32" s="38">
        <f>'Table ASHA 1'!AH18</f>
        <v>0</v>
      </c>
      <c r="F32" s="39">
        <f>NORM!F17</f>
        <v>1</v>
      </c>
      <c r="G32" s="39">
        <f>E32*100/ROUND(F32,0)</f>
        <v>0</v>
      </c>
      <c r="H32" s="37" t="s">
        <v>65</v>
      </c>
      <c r="I32" s="38" t="s">
        <v>104</v>
      </c>
      <c r="J32" s="40">
        <f>IF(ROUND(E32,0)&gt;=1,50,0)</f>
        <v>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 spans="1:34" ht="71.25" customHeight="1">
      <c r="A33" s="21">
        <v>15</v>
      </c>
      <c r="B33" s="2" t="s">
        <v>17</v>
      </c>
      <c r="C33" s="22" t="s">
        <v>66</v>
      </c>
      <c r="D33" s="23" t="s">
        <v>67</v>
      </c>
      <c r="E33" s="38">
        <f>'Table ASHA 1'!AH19</f>
        <v>0</v>
      </c>
      <c r="F33" s="39">
        <f>NORM!F18</f>
        <v>3</v>
      </c>
      <c r="G33" s="39">
        <f>E33*100/ROUND(F33,0)</f>
        <v>0</v>
      </c>
      <c r="H33" s="37" t="s">
        <v>68</v>
      </c>
      <c r="I33" s="38" t="s">
        <v>104</v>
      </c>
      <c r="J33" s="40">
        <f>IF(ROUND(E33,0)&gt;=1,50,0)</f>
        <v>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 spans="1:34" ht="59.25" customHeight="1">
      <c r="A34" s="113">
        <v>16</v>
      </c>
      <c r="B34" s="115" t="s">
        <v>18</v>
      </c>
      <c r="C34" s="124" t="s">
        <v>69</v>
      </c>
      <c r="D34" s="121" t="s">
        <v>70</v>
      </c>
      <c r="E34" s="122">
        <f>'Table ASHA 1'!AH20</f>
        <v>0</v>
      </c>
      <c r="F34" s="111">
        <f>NORM!F19</f>
        <v>0</v>
      </c>
      <c r="G34" s="111" t="e">
        <f>E34*100/ROUND(F34,0)</f>
        <v>#DIV/0!</v>
      </c>
      <c r="H34" s="37" t="s">
        <v>71</v>
      </c>
      <c r="I34" s="38" t="s">
        <v>89</v>
      </c>
      <c r="J34" s="116" t="e">
        <f>IF(E34*100/ROUND(F34,0)&lt;75,0,IF(E34*100/ROUND(F34,0)&gt;=100,60,45))</f>
        <v>#DIV/0!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 spans="1:34" ht="59.25" customHeight="1">
      <c r="A35" s="114"/>
      <c r="B35" s="112"/>
      <c r="C35" s="112"/>
      <c r="D35" s="112"/>
      <c r="E35" s="112"/>
      <c r="F35" s="112"/>
      <c r="G35" s="112"/>
      <c r="H35" s="37" t="s">
        <v>72</v>
      </c>
      <c r="I35" s="38" t="s">
        <v>90</v>
      </c>
      <c r="J35" s="1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 spans="1:34" ht="59.25" customHeight="1">
      <c r="A36" s="120">
        <v>17</v>
      </c>
      <c r="B36" s="115" t="s">
        <v>19</v>
      </c>
      <c r="C36" s="115" t="s">
        <v>105</v>
      </c>
      <c r="D36" s="121" t="s">
        <v>67</v>
      </c>
      <c r="E36" s="122">
        <f>'Table ASHA 1'!AH21</f>
        <v>0</v>
      </c>
      <c r="F36" s="111">
        <f>NORM!F20</f>
        <v>220</v>
      </c>
      <c r="G36" s="111">
        <f>E36*100/ROUND(F36,0)</f>
        <v>0</v>
      </c>
      <c r="H36" s="37" t="s">
        <v>73</v>
      </c>
      <c r="I36" s="38" t="s">
        <v>89</v>
      </c>
      <c r="J36" s="116">
        <f>IF(E36*100/ROUND(F36,0)&lt;75,0,IF(E36*100/ROUND(F36,0)&gt;=100,60,45))</f>
        <v>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 spans="1:34" ht="59.25" customHeight="1">
      <c r="A37" s="112"/>
      <c r="B37" s="112"/>
      <c r="C37" s="112"/>
      <c r="D37" s="112"/>
      <c r="E37" s="112"/>
      <c r="F37" s="112"/>
      <c r="G37" s="112"/>
      <c r="H37" s="37" t="s">
        <v>74</v>
      </c>
      <c r="I37" s="38" t="s">
        <v>90</v>
      </c>
      <c r="J37" s="1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34" ht="33" customHeight="1">
      <c r="A38" s="24"/>
      <c r="B38" s="25"/>
      <c r="C38" s="25"/>
      <c r="D38" s="26"/>
      <c r="E38" s="27"/>
      <c r="F38" s="28"/>
      <c r="G38" s="28"/>
      <c r="H38" s="41"/>
      <c r="I38" s="26"/>
      <c r="J38" s="82" t="e">
        <f>SUM(J6:J36)</f>
        <v>#DIV/0!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 spans="1:34" ht="33" customHeight="1">
      <c r="A39" s="105" t="s">
        <v>75</v>
      </c>
      <c r="B39" s="106"/>
      <c r="C39" s="106"/>
      <c r="D39" s="106"/>
      <c r="E39" s="106"/>
      <c r="F39" s="106"/>
      <c r="G39" s="106"/>
      <c r="H39" s="106"/>
      <c r="I39" s="106"/>
      <c r="J39" s="107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7"/>
    </row>
    <row r="40" spans="1:34" ht="15.75" customHeight="1">
      <c r="A40" s="7"/>
      <c r="B40" s="8"/>
      <c r="C40" s="8"/>
      <c r="D40" s="8"/>
      <c r="E40" s="8"/>
      <c r="F40" s="8"/>
      <c r="G40" s="8"/>
      <c r="H40" s="8"/>
      <c r="I40" s="8"/>
      <c r="J40" s="85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33"/>
    </row>
    <row r="41" spans="1:34" ht="15.75" customHeight="1">
      <c r="A41" s="7"/>
      <c r="B41" s="8"/>
      <c r="C41" s="8"/>
      <c r="D41" s="8"/>
      <c r="E41" s="8"/>
      <c r="F41" s="8"/>
      <c r="G41" s="8"/>
      <c r="H41" s="8"/>
      <c r="I41" s="8"/>
      <c r="J41" s="8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33"/>
    </row>
    <row r="42" spans="1:34" ht="15.75" customHeight="1">
      <c r="A42" s="7"/>
      <c r="B42" s="8"/>
      <c r="C42" s="8"/>
      <c r="D42" s="8"/>
      <c r="E42" s="8"/>
      <c r="F42" s="8"/>
      <c r="G42" s="8"/>
      <c r="H42" s="8"/>
      <c r="I42" s="8"/>
      <c r="J42" s="8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33"/>
    </row>
    <row r="43" spans="1:34" ht="29.25" customHeight="1">
      <c r="A43" s="49"/>
      <c r="B43" s="11"/>
      <c r="C43" s="11"/>
      <c r="D43" s="11"/>
      <c r="E43" s="11"/>
      <c r="F43" s="11"/>
      <c r="G43" s="104" t="s">
        <v>106</v>
      </c>
      <c r="H43" s="96"/>
      <c r="I43" s="96"/>
      <c r="J43" s="97"/>
      <c r="K43" s="11"/>
      <c r="L43" s="11"/>
      <c r="M43" s="11"/>
      <c r="N43" s="16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84"/>
      <c r="AD43" s="16"/>
      <c r="AE43" s="16"/>
      <c r="AF43" s="16"/>
      <c r="AG43" s="16"/>
      <c r="AH43" s="16"/>
    </row>
    <row r="44" spans="1:34" ht="29.25" customHeight="1">
      <c r="A44" s="12"/>
      <c r="B44" s="13"/>
      <c r="C44" s="13"/>
      <c r="D44" s="13"/>
      <c r="E44" s="13"/>
      <c r="F44" s="13"/>
      <c r="G44" s="104" t="s">
        <v>84</v>
      </c>
      <c r="H44" s="96"/>
      <c r="I44" s="96"/>
      <c r="J44" s="97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84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 spans="1:34" ht="15.75" customHeight="1">
      <c r="A45" s="51"/>
      <c r="B45" s="29"/>
      <c r="C45" s="29"/>
      <c r="D45" s="16"/>
      <c r="E45" s="16"/>
      <c r="F45" s="16"/>
      <c r="G45" s="16"/>
      <c r="H45" s="16"/>
      <c r="I45" s="30"/>
      <c r="J45" s="30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 spans="1:34" ht="15.75" customHeight="1">
      <c r="A46" s="51"/>
      <c r="B46" s="29"/>
      <c r="C46" s="29"/>
      <c r="D46" s="16"/>
      <c r="E46" s="16"/>
      <c r="F46" s="16"/>
      <c r="G46" s="16"/>
      <c r="H46" s="16"/>
      <c r="I46" s="30"/>
      <c r="J46" s="30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 spans="1:34" ht="15.75" customHeight="1">
      <c r="A47" s="51"/>
      <c r="B47" s="29"/>
      <c r="C47" s="29"/>
      <c r="D47" s="16"/>
      <c r="E47" s="16"/>
      <c r="F47" s="16"/>
      <c r="G47" s="16"/>
      <c r="H47" s="16"/>
      <c r="I47" s="30"/>
      <c r="J47" s="30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 spans="1:34" ht="15.75" customHeight="1">
      <c r="A48" s="51"/>
      <c r="B48" s="29"/>
      <c r="C48" s="29"/>
      <c r="D48" s="16"/>
      <c r="E48" s="16"/>
      <c r="F48" s="16"/>
      <c r="G48" s="16"/>
      <c r="H48" s="16"/>
      <c r="I48" s="30"/>
      <c r="J48" s="30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 spans="1:34" ht="15.75" customHeight="1">
      <c r="A49" s="51"/>
      <c r="B49" s="29"/>
      <c r="C49" s="29"/>
      <c r="D49" s="16"/>
      <c r="E49" s="16"/>
      <c r="F49" s="16"/>
      <c r="G49" s="16"/>
      <c r="H49" s="16"/>
      <c r="I49" s="30"/>
      <c r="J49" s="30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 spans="1:34" ht="15.75" customHeight="1">
      <c r="A50" s="51"/>
      <c r="B50" s="29"/>
      <c r="C50" s="29"/>
      <c r="D50" s="16"/>
      <c r="E50" s="16"/>
      <c r="F50" s="16"/>
      <c r="G50" s="16"/>
      <c r="H50" s="16"/>
      <c r="I50" s="30"/>
      <c r="J50" s="30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 spans="1:34" ht="15.75" customHeight="1">
      <c r="A51" s="51"/>
      <c r="B51" s="29"/>
      <c r="C51" s="29"/>
      <c r="D51" s="16"/>
      <c r="E51" s="16"/>
      <c r="F51" s="16"/>
      <c r="G51" s="16"/>
      <c r="H51" s="16"/>
      <c r="I51" s="30"/>
      <c r="J51" s="30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 spans="1:34" ht="15.75" customHeight="1">
      <c r="A52" s="51"/>
      <c r="B52" s="29"/>
      <c r="C52" s="29"/>
      <c r="D52" s="16"/>
      <c r="E52" s="16"/>
      <c r="F52" s="16"/>
      <c r="G52" s="16"/>
      <c r="H52" s="16"/>
      <c r="I52" s="30"/>
      <c r="J52" s="30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 spans="1:34" ht="15.75" customHeight="1">
      <c r="A53" s="51"/>
      <c r="B53" s="29"/>
      <c r="C53" s="29"/>
      <c r="D53" s="16"/>
      <c r="E53" s="16"/>
      <c r="F53" s="16"/>
      <c r="G53" s="16"/>
      <c r="H53" s="16"/>
      <c r="I53" s="30"/>
      <c r="J53" s="30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 spans="1:34" ht="15.75" customHeight="1">
      <c r="A54" s="51"/>
      <c r="B54" s="29"/>
      <c r="C54" s="29"/>
      <c r="D54" s="16"/>
      <c r="E54" s="16"/>
      <c r="F54" s="16"/>
      <c r="G54" s="16"/>
      <c r="H54" s="16"/>
      <c r="I54" s="30"/>
      <c r="J54" s="30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 spans="1:34" ht="15.75" customHeight="1">
      <c r="A55" s="51"/>
      <c r="B55" s="29"/>
      <c r="C55" s="29"/>
      <c r="D55" s="16"/>
      <c r="E55" s="16"/>
      <c r="F55" s="16"/>
      <c r="G55" s="16"/>
      <c r="H55" s="16"/>
      <c r="I55" s="30"/>
      <c r="J55" s="30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 spans="1:34" ht="15.75" customHeight="1">
      <c r="A56" s="51"/>
      <c r="B56" s="29"/>
      <c r="C56" s="29"/>
      <c r="D56" s="16"/>
      <c r="E56" s="16"/>
      <c r="F56" s="16"/>
      <c r="G56" s="16"/>
      <c r="H56" s="16"/>
      <c r="I56" s="30"/>
      <c r="J56" s="30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 spans="1:34" ht="15.75" customHeight="1">
      <c r="A57" s="51"/>
      <c r="B57" s="29"/>
      <c r="C57" s="29"/>
      <c r="D57" s="16"/>
      <c r="E57" s="16"/>
      <c r="F57" s="16"/>
      <c r="G57" s="16"/>
      <c r="H57" s="16"/>
      <c r="I57" s="30"/>
      <c r="J57" s="30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 spans="1:34" ht="15.75" customHeight="1">
      <c r="A58" s="51"/>
      <c r="B58" s="29"/>
      <c r="C58" s="29"/>
      <c r="D58" s="16"/>
      <c r="E58" s="16"/>
      <c r="F58" s="16"/>
      <c r="G58" s="16"/>
      <c r="H58" s="16"/>
      <c r="I58" s="30"/>
      <c r="J58" s="30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 spans="1:34" ht="15.75" customHeight="1">
      <c r="A59" s="51"/>
      <c r="B59" s="29"/>
      <c r="C59" s="29"/>
      <c r="D59" s="16"/>
      <c r="E59" s="16"/>
      <c r="F59" s="16"/>
      <c r="G59" s="16"/>
      <c r="H59" s="16"/>
      <c r="I59" s="30"/>
      <c r="J59" s="30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 spans="1:34" ht="15.75" customHeight="1">
      <c r="A60" s="51"/>
      <c r="B60" s="29"/>
      <c r="C60" s="29"/>
      <c r="D60" s="16"/>
      <c r="E60" s="16"/>
      <c r="F60" s="16"/>
      <c r="G60" s="16"/>
      <c r="H60" s="16"/>
      <c r="I60" s="30"/>
      <c r="J60" s="30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 spans="1:34" ht="15.75" customHeight="1">
      <c r="A61" s="51"/>
      <c r="B61" s="29"/>
      <c r="C61" s="29"/>
      <c r="D61" s="16"/>
      <c r="E61" s="16"/>
      <c r="F61" s="16"/>
      <c r="G61" s="16"/>
      <c r="H61" s="16"/>
      <c r="I61" s="30"/>
      <c r="J61" s="30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 spans="1:34" ht="15.75" customHeight="1">
      <c r="A62" s="51"/>
      <c r="B62" s="29"/>
      <c r="C62" s="29"/>
      <c r="D62" s="16"/>
      <c r="E62" s="16"/>
      <c r="F62" s="16"/>
      <c r="G62" s="16"/>
      <c r="H62" s="16"/>
      <c r="I62" s="30"/>
      <c r="J62" s="30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 spans="1:34" ht="15.75" customHeight="1">
      <c r="A63" s="51"/>
      <c r="B63" s="29"/>
      <c r="C63" s="29"/>
      <c r="D63" s="16"/>
      <c r="E63" s="16"/>
      <c r="F63" s="16"/>
      <c r="G63" s="16"/>
      <c r="H63" s="16"/>
      <c r="I63" s="30"/>
      <c r="J63" s="30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 spans="1:34" ht="15.75" customHeight="1">
      <c r="A64" s="51"/>
      <c r="B64" s="29"/>
      <c r="C64" s="29"/>
      <c r="D64" s="16"/>
      <c r="E64" s="16"/>
      <c r="F64" s="16"/>
      <c r="G64" s="16"/>
      <c r="H64" s="16"/>
      <c r="I64" s="30"/>
      <c r="J64" s="30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 spans="1:34" ht="15.75" customHeight="1">
      <c r="A65" s="51"/>
      <c r="B65" s="29"/>
      <c r="C65" s="29"/>
      <c r="D65" s="16"/>
      <c r="E65" s="16"/>
      <c r="F65" s="16"/>
      <c r="G65" s="16"/>
      <c r="H65" s="16"/>
      <c r="I65" s="30"/>
      <c r="J65" s="30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 spans="1:34" ht="15.75" customHeight="1">
      <c r="A66" s="51"/>
      <c r="B66" s="29"/>
      <c r="C66" s="29"/>
      <c r="D66" s="16"/>
      <c r="E66" s="16"/>
      <c r="F66" s="16"/>
      <c r="G66" s="16"/>
      <c r="H66" s="16"/>
      <c r="I66" s="30"/>
      <c r="J66" s="30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 spans="1:34" ht="15.75" customHeight="1">
      <c r="A67" s="51"/>
      <c r="B67" s="29"/>
      <c r="C67" s="29"/>
      <c r="D67" s="16"/>
      <c r="E67" s="16"/>
      <c r="F67" s="16"/>
      <c r="G67" s="16"/>
      <c r="H67" s="16"/>
      <c r="I67" s="30"/>
      <c r="J67" s="30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 spans="1:34" ht="15.75" customHeight="1">
      <c r="A68" s="51"/>
      <c r="B68" s="29"/>
      <c r="C68" s="29"/>
      <c r="D68" s="16"/>
      <c r="E68" s="16"/>
      <c r="F68" s="16"/>
      <c r="G68" s="16"/>
      <c r="H68" s="16"/>
      <c r="I68" s="30"/>
      <c r="J68" s="30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 spans="1:34" ht="15.75" customHeight="1">
      <c r="A69" s="51"/>
      <c r="B69" s="29"/>
      <c r="C69" s="29"/>
      <c r="D69" s="16"/>
      <c r="E69" s="16"/>
      <c r="F69" s="16"/>
      <c r="G69" s="16"/>
      <c r="H69" s="16"/>
      <c r="I69" s="30"/>
      <c r="J69" s="30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 spans="1:34" ht="15.75" customHeight="1">
      <c r="A70" s="51"/>
      <c r="B70" s="29"/>
      <c r="C70" s="29"/>
      <c r="D70" s="16"/>
      <c r="E70" s="16"/>
      <c r="F70" s="16"/>
      <c r="G70" s="16"/>
      <c r="H70" s="16"/>
      <c r="I70" s="30"/>
      <c r="J70" s="30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 spans="1:34" ht="15.75" customHeight="1">
      <c r="A71" s="51"/>
      <c r="B71" s="29"/>
      <c r="C71" s="29"/>
      <c r="D71" s="16"/>
      <c r="E71" s="16"/>
      <c r="F71" s="16"/>
      <c r="G71" s="16"/>
      <c r="H71" s="16"/>
      <c r="I71" s="30"/>
      <c r="J71" s="30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 spans="1:34" ht="15.75" customHeight="1">
      <c r="A72" s="51"/>
      <c r="B72" s="29"/>
      <c r="C72" s="29"/>
      <c r="D72" s="16"/>
      <c r="E72" s="16"/>
      <c r="F72" s="16"/>
      <c r="G72" s="16"/>
      <c r="H72" s="16"/>
      <c r="I72" s="30"/>
      <c r="J72" s="30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 spans="1:34" ht="15.75" customHeight="1">
      <c r="A73" s="51"/>
      <c r="B73" s="29"/>
      <c r="C73" s="29"/>
      <c r="D73" s="16"/>
      <c r="E73" s="16"/>
      <c r="F73" s="16"/>
      <c r="G73" s="16"/>
      <c r="H73" s="16"/>
      <c r="I73" s="30"/>
      <c r="J73" s="30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 spans="1:34" ht="15.75" customHeight="1">
      <c r="A74" s="51"/>
      <c r="B74" s="29"/>
      <c r="C74" s="29"/>
      <c r="D74" s="16"/>
      <c r="E74" s="16"/>
      <c r="F74" s="16"/>
      <c r="G74" s="16"/>
      <c r="H74" s="16"/>
      <c r="I74" s="30"/>
      <c r="J74" s="30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 spans="1:34" ht="15.75" customHeight="1">
      <c r="A75" s="51"/>
      <c r="B75" s="29"/>
      <c r="C75" s="29"/>
      <c r="D75" s="16"/>
      <c r="E75" s="16"/>
      <c r="F75" s="16"/>
      <c r="G75" s="16"/>
      <c r="H75" s="16"/>
      <c r="I75" s="30"/>
      <c r="J75" s="30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 spans="1:34" ht="15.75" customHeight="1">
      <c r="A76" s="51"/>
      <c r="B76" s="29"/>
      <c r="C76" s="29"/>
      <c r="D76" s="16"/>
      <c r="E76" s="16"/>
      <c r="F76" s="16"/>
      <c r="G76" s="16"/>
      <c r="H76" s="16"/>
      <c r="I76" s="30"/>
      <c r="J76" s="30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 spans="1:34" ht="15.75" customHeight="1">
      <c r="A77" s="51"/>
      <c r="B77" s="29"/>
      <c r="C77" s="29"/>
      <c r="D77" s="16"/>
      <c r="E77" s="16"/>
      <c r="F77" s="16"/>
      <c r="G77" s="16"/>
      <c r="H77" s="16"/>
      <c r="I77" s="30"/>
      <c r="J77" s="30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 spans="1:34" ht="15.75" customHeight="1">
      <c r="A78" s="51"/>
      <c r="B78" s="29"/>
      <c r="C78" s="29"/>
      <c r="D78" s="16"/>
      <c r="E78" s="16"/>
      <c r="F78" s="16"/>
      <c r="G78" s="16"/>
      <c r="H78" s="16"/>
      <c r="I78" s="30"/>
      <c r="J78" s="30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 spans="1:34" ht="15.75" customHeight="1">
      <c r="A79" s="51"/>
      <c r="B79" s="29"/>
      <c r="C79" s="29"/>
      <c r="D79" s="16"/>
      <c r="E79" s="16"/>
      <c r="F79" s="16"/>
      <c r="G79" s="16"/>
      <c r="H79" s="16"/>
      <c r="I79" s="30"/>
      <c r="J79" s="30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 spans="1:34" ht="15.75" customHeight="1">
      <c r="A80" s="51"/>
      <c r="B80" s="29"/>
      <c r="C80" s="29"/>
      <c r="D80" s="16"/>
      <c r="E80" s="16"/>
      <c r="F80" s="16"/>
      <c r="G80" s="16"/>
      <c r="H80" s="16"/>
      <c r="I80" s="30"/>
      <c r="J80" s="30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 ht="15.75" customHeight="1">
      <c r="A81" s="51"/>
      <c r="B81" s="29"/>
      <c r="C81" s="29"/>
      <c r="D81" s="16"/>
      <c r="E81" s="16"/>
      <c r="F81" s="16"/>
      <c r="G81" s="16"/>
      <c r="H81" s="16"/>
      <c r="I81" s="30"/>
      <c r="J81" s="30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 spans="1:34" ht="15.75" customHeight="1">
      <c r="A82" s="51"/>
      <c r="B82" s="29"/>
      <c r="C82" s="29"/>
      <c r="D82" s="16"/>
      <c r="E82" s="16"/>
      <c r="F82" s="16"/>
      <c r="G82" s="16"/>
      <c r="H82" s="16"/>
      <c r="I82" s="30"/>
      <c r="J82" s="30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 spans="1:34" ht="15.75" customHeight="1">
      <c r="A83" s="51"/>
      <c r="B83" s="29"/>
      <c r="C83" s="29"/>
      <c r="D83" s="16"/>
      <c r="E83" s="16"/>
      <c r="F83" s="16"/>
      <c r="G83" s="16"/>
      <c r="H83" s="16"/>
      <c r="I83" s="30"/>
      <c r="J83" s="30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 spans="1:34" ht="15.75" customHeight="1">
      <c r="A84" s="51"/>
      <c r="B84" s="29"/>
      <c r="C84" s="29"/>
      <c r="D84" s="16"/>
      <c r="E84" s="16"/>
      <c r="F84" s="16"/>
      <c r="G84" s="16"/>
      <c r="H84" s="16"/>
      <c r="I84" s="30"/>
      <c r="J84" s="30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 ht="15.75" customHeight="1">
      <c r="A85" s="51"/>
      <c r="B85" s="29"/>
      <c r="C85" s="29"/>
      <c r="D85" s="16"/>
      <c r="E85" s="16"/>
      <c r="F85" s="16"/>
      <c r="G85" s="16"/>
      <c r="H85" s="16"/>
      <c r="I85" s="30"/>
      <c r="J85" s="30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 ht="15.75" customHeight="1">
      <c r="A86" s="51"/>
      <c r="B86" s="29"/>
      <c r="C86" s="29"/>
      <c r="D86" s="16"/>
      <c r="E86" s="16"/>
      <c r="F86" s="16"/>
      <c r="G86" s="16"/>
      <c r="H86" s="16"/>
      <c r="I86" s="30"/>
      <c r="J86" s="30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 spans="1:34" ht="15.75" customHeight="1">
      <c r="A87" s="51"/>
      <c r="B87" s="29"/>
      <c r="C87" s="29"/>
      <c r="D87" s="16"/>
      <c r="E87" s="16"/>
      <c r="F87" s="16"/>
      <c r="G87" s="16"/>
      <c r="H87" s="16"/>
      <c r="I87" s="30"/>
      <c r="J87" s="30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 ht="15.75" customHeight="1">
      <c r="A88" s="51"/>
      <c r="B88" s="29"/>
      <c r="C88" s="29"/>
      <c r="D88" s="16"/>
      <c r="E88" s="16"/>
      <c r="F88" s="16"/>
      <c r="G88" s="16"/>
      <c r="H88" s="16"/>
      <c r="I88" s="30"/>
      <c r="J88" s="30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 spans="1:34" ht="15.75" customHeight="1">
      <c r="A89" s="51"/>
      <c r="B89" s="29"/>
      <c r="C89" s="29"/>
      <c r="D89" s="16"/>
      <c r="E89" s="16"/>
      <c r="F89" s="16"/>
      <c r="G89" s="16"/>
      <c r="H89" s="16"/>
      <c r="I89" s="30"/>
      <c r="J89" s="30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 spans="1:34" ht="15.75" customHeight="1">
      <c r="A90" s="51"/>
      <c r="B90" s="29"/>
      <c r="C90" s="29"/>
      <c r="D90" s="16"/>
      <c r="E90" s="16"/>
      <c r="F90" s="16"/>
      <c r="G90" s="16"/>
      <c r="H90" s="16"/>
      <c r="I90" s="30"/>
      <c r="J90" s="30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 spans="1:34" ht="15.75" customHeight="1">
      <c r="A91" s="51"/>
      <c r="B91" s="29"/>
      <c r="C91" s="29"/>
      <c r="D91" s="16"/>
      <c r="E91" s="16"/>
      <c r="F91" s="16"/>
      <c r="G91" s="16"/>
      <c r="H91" s="16"/>
      <c r="I91" s="30"/>
      <c r="J91" s="30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 spans="1:34" ht="15.75" customHeight="1">
      <c r="A92" s="51"/>
      <c r="B92" s="29"/>
      <c r="C92" s="29"/>
      <c r="D92" s="16"/>
      <c r="E92" s="16"/>
      <c r="F92" s="16"/>
      <c r="G92" s="16"/>
      <c r="H92" s="16"/>
      <c r="I92" s="30"/>
      <c r="J92" s="30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 spans="1:34" ht="15.75" customHeight="1">
      <c r="A93" s="51"/>
      <c r="B93" s="29"/>
      <c r="C93" s="29"/>
      <c r="D93" s="16"/>
      <c r="E93" s="16"/>
      <c r="F93" s="16"/>
      <c r="G93" s="16"/>
      <c r="H93" s="16"/>
      <c r="I93" s="30"/>
      <c r="J93" s="30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 spans="1:34" ht="15.75" customHeight="1">
      <c r="A94" s="51"/>
      <c r="B94" s="29"/>
      <c r="C94" s="29"/>
      <c r="D94" s="16"/>
      <c r="E94" s="16"/>
      <c r="F94" s="16"/>
      <c r="G94" s="16"/>
      <c r="H94" s="16"/>
      <c r="I94" s="30"/>
      <c r="J94" s="30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 spans="1:34" ht="15.75" customHeight="1">
      <c r="A95" s="51"/>
      <c r="B95" s="29"/>
      <c r="C95" s="29"/>
      <c r="D95" s="16"/>
      <c r="E95" s="16"/>
      <c r="F95" s="16"/>
      <c r="G95" s="16"/>
      <c r="H95" s="16"/>
      <c r="I95" s="30"/>
      <c r="J95" s="30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 spans="1:34" ht="15.75" customHeight="1">
      <c r="A96" s="51"/>
      <c r="B96" s="29"/>
      <c r="C96" s="29"/>
      <c r="D96" s="16"/>
      <c r="E96" s="16"/>
      <c r="F96" s="16"/>
      <c r="G96" s="16"/>
      <c r="H96" s="16"/>
      <c r="I96" s="30"/>
      <c r="J96" s="30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 spans="1:34" ht="15.75" customHeight="1">
      <c r="A97" s="51"/>
      <c r="B97" s="29"/>
      <c r="C97" s="29"/>
      <c r="D97" s="16"/>
      <c r="E97" s="16"/>
      <c r="F97" s="16"/>
      <c r="G97" s="16"/>
      <c r="H97" s="16"/>
      <c r="I97" s="30"/>
      <c r="J97" s="30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 spans="1:34" ht="15.75" customHeight="1">
      <c r="A98" s="51"/>
      <c r="B98" s="29"/>
      <c r="C98" s="29"/>
      <c r="D98" s="16"/>
      <c r="E98" s="16"/>
      <c r="F98" s="16"/>
      <c r="G98" s="16"/>
      <c r="H98" s="16"/>
      <c r="I98" s="30"/>
      <c r="J98" s="30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 spans="1:34" ht="15.75" customHeight="1">
      <c r="A99" s="51"/>
      <c r="B99" s="29"/>
      <c r="C99" s="29"/>
      <c r="D99" s="16"/>
      <c r="E99" s="16"/>
      <c r="F99" s="16"/>
      <c r="G99" s="16"/>
      <c r="H99" s="16"/>
      <c r="I99" s="30"/>
      <c r="J99" s="30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 spans="1:34" ht="15.75" customHeight="1">
      <c r="A100" s="51"/>
      <c r="B100" s="29"/>
      <c r="C100" s="29"/>
      <c r="D100" s="16"/>
      <c r="E100" s="16"/>
      <c r="F100" s="16"/>
      <c r="G100" s="16"/>
      <c r="H100" s="16"/>
      <c r="I100" s="30"/>
      <c r="J100" s="30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</sheetData>
  <mergeCells count="128">
    <mergeCell ref="A30:A31"/>
    <mergeCell ref="E36:E37"/>
    <mergeCell ref="F36:F37"/>
    <mergeCell ref="J34:J35"/>
    <mergeCell ref="J36:J37"/>
    <mergeCell ref="A34:A35"/>
    <mergeCell ref="J16:J17"/>
    <mergeCell ref="A18:A19"/>
    <mergeCell ref="A20:A21"/>
    <mergeCell ref="A16:A17"/>
    <mergeCell ref="A28:A29"/>
    <mergeCell ref="B28:B29"/>
    <mergeCell ref="C28:C29"/>
    <mergeCell ref="C26:C27"/>
    <mergeCell ref="B26:B27"/>
    <mergeCell ref="A26:A27"/>
    <mergeCell ref="B24:B25"/>
    <mergeCell ref="C24:C25"/>
    <mergeCell ref="A24:A25"/>
    <mergeCell ref="A22:A23"/>
    <mergeCell ref="B22:B23"/>
    <mergeCell ref="C22:C23"/>
    <mergeCell ref="D3:G3"/>
    <mergeCell ref="G43:J43"/>
    <mergeCell ref="G44:J44"/>
    <mergeCell ref="B18:B19"/>
    <mergeCell ref="C18:C19"/>
    <mergeCell ref="E20:E21"/>
    <mergeCell ref="F20:F21"/>
    <mergeCell ref="J20:J21"/>
    <mergeCell ref="J22:J23"/>
    <mergeCell ref="J18:J19"/>
    <mergeCell ref="B30:B31"/>
    <mergeCell ref="C30:C31"/>
    <mergeCell ref="G36:G37"/>
    <mergeCell ref="J26:J27"/>
    <mergeCell ref="J30:J31"/>
    <mergeCell ref="J28:J29"/>
    <mergeCell ref="B34:B35"/>
    <mergeCell ref="C34:C35"/>
    <mergeCell ref="B20:B21"/>
    <mergeCell ref="C20:C21"/>
    <mergeCell ref="E28:E29"/>
    <mergeCell ref="D30:D31"/>
    <mergeCell ref="E30:E31"/>
    <mergeCell ref="C16:C17"/>
    <mergeCell ref="B10:B11"/>
    <mergeCell ref="A6:A7"/>
    <mergeCell ref="A8:A9"/>
    <mergeCell ref="B14:B15"/>
    <mergeCell ref="D18:D19"/>
    <mergeCell ref="F26:F27"/>
    <mergeCell ref="G26:G27"/>
    <mergeCell ref="F28:F29"/>
    <mergeCell ref="B16:B17"/>
    <mergeCell ref="J14:J15"/>
    <mergeCell ref="G14:G15"/>
    <mergeCell ref="F6:F7"/>
    <mergeCell ref="G6:G7"/>
    <mergeCell ref="D8:D9"/>
    <mergeCell ref="E8:E9"/>
    <mergeCell ref="F10:F11"/>
    <mergeCell ref="G10:G11"/>
    <mergeCell ref="G12:G13"/>
    <mergeCell ref="F12:F13"/>
    <mergeCell ref="E22:E23"/>
    <mergeCell ref="F18:F19"/>
    <mergeCell ref="E18:E19"/>
    <mergeCell ref="G18:G19"/>
    <mergeCell ref="A1:J1"/>
    <mergeCell ref="E12:E13"/>
    <mergeCell ref="J6:J7"/>
    <mergeCell ref="J8:J9"/>
    <mergeCell ref="E10:E11"/>
    <mergeCell ref="E6:E7"/>
    <mergeCell ref="D20:D21"/>
    <mergeCell ref="D22:D23"/>
    <mergeCell ref="G20:G21"/>
    <mergeCell ref="F22:F23"/>
    <mergeCell ref="G22:G23"/>
    <mergeCell ref="F16:F17"/>
    <mergeCell ref="G16:G17"/>
    <mergeCell ref="D16:D17"/>
    <mergeCell ref="E16:E17"/>
    <mergeCell ref="C14:C15"/>
    <mergeCell ref="D14:D15"/>
    <mergeCell ref="E14:E15"/>
    <mergeCell ref="A14:A15"/>
    <mergeCell ref="F14:F15"/>
    <mergeCell ref="D34:D35"/>
    <mergeCell ref="E34:E35"/>
    <mergeCell ref="F34:F35"/>
    <mergeCell ref="G34:G35"/>
    <mergeCell ref="J24:J25"/>
    <mergeCell ref="D24:D25"/>
    <mergeCell ref="E24:E25"/>
    <mergeCell ref="F24:F25"/>
    <mergeCell ref="G24:G25"/>
    <mergeCell ref="G28:G29"/>
    <mergeCell ref="E26:E27"/>
    <mergeCell ref="D26:D27"/>
    <mergeCell ref="D28:D29"/>
    <mergeCell ref="F30:F31"/>
    <mergeCell ref="G30:G31"/>
    <mergeCell ref="A39:J39"/>
    <mergeCell ref="A2:J2"/>
    <mergeCell ref="D4:G4"/>
    <mergeCell ref="H4:J4"/>
    <mergeCell ref="F8:F9"/>
    <mergeCell ref="G8:G9"/>
    <mergeCell ref="A10:A11"/>
    <mergeCell ref="A12:A13"/>
    <mergeCell ref="B8:B9"/>
    <mergeCell ref="C8:C9"/>
    <mergeCell ref="J10:J11"/>
    <mergeCell ref="J12:J13"/>
    <mergeCell ref="B12:B13"/>
    <mergeCell ref="B6:B7"/>
    <mergeCell ref="C6:C7"/>
    <mergeCell ref="D6:D7"/>
    <mergeCell ref="C12:C13"/>
    <mergeCell ref="C10:C11"/>
    <mergeCell ref="A36:A37"/>
    <mergeCell ref="B36:B37"/>
    <mergeCell ref="C36:C37"/>
    <mergeCell ref="D36:D37"/>
    <mergeCell ref="D10:D11"/>
    <mergeCell ref="D12:D13"/>
  </mergeCells>
  <printOptions horizontalCentered="1"/>
  <pageMargins left="0.25" right="0.25" top="0.25" bottom="0.25" header="0" footer="0"/>
  <pageSetup paperSize="9" orientation="portrait" fitToWidth="1" fitToHeight="1" useFirstPageNumber="0"/>
  <rowBreaks count="1" manualBreakCount="1">
    <brk id="21" man="1"/>
  </rowBreaks>
  <colBreaks count="1" manualBreakCount="1">
    <brk id="1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00"/>
  <sheetViews>
    <sheetView zoomScale="39" zoomScaleNormal="39" workbookViewId="0">
      <pane ySplit="2" topLeftCell="A3" activePane="bottomLeft" state="frozen"/>
      <selection activeCell="D1" sqref="D1"/>
      <selection pane="bottomLeft" activeCell="J15" sqref="J15"/>
    </sheetView>
  </sheetViews>
  <sheetFormatPr defaultColWidth="14.44140625" defaultRowHeight="15" customHeight="1"/>
  <cols>
    <col min="1" max="1" width="8.77734375" customWidth="1"/>
    <col min="2" max="2" width="120.6640625" customWidth="1"/>
    <col min="3" max="3" width="82.77734375" customWidth="1"/>
    <col min="4" max="8" width="23.6640625" customWidth="1"/>
    <col min="9" max="9" width="36.33203125" customWidth="1"/>
    <col min="10" max="16" width="9.109375" customWidth="1"/>
  </cols>
  <sheetData>
    <row r="1" spans="1:16" ht="51" customHeight="1">
      <c r="A1" s="129" t="s">
        <v>107</v>
      </c>
      <c r="B1" s="130"/>
      <c r="C1" s="130"/>
      <c r="D1" s="130"/>
      <c r="E1" s="130"/>
      <c r="F1" s="130"/>
      <c r="G1" s="130"/>
      <c r="H1" s="130"/>
      <c r="I1" s="52"/>
      <c r="J1" s="52"/>
      <c r="K1" s="52"/>
      <c r="L1" s="52"/>
      <c r="M1" s="52"/>
      <c r="N1" s="52"/>
      <c r="O1" s="52"/>
      <c r="P1" s="52"/>
    </row>
    <row r="2" spans="1:16" ht="82.5" customHeight="1">
      <c r="A2" s="53" t="s">
        <v>0</v>
      </c>
      <c r="B2" s="54" t="s">
        <v>1</v>
      </c>
      <c r="C2" s="54" t="s">
        <v>108</v>
      </c>
      <c r="D2" s="54" t="s">
        <v>109</v>
      </c>
      <c r="E2" s="54" t="s">
        <v>110</v>
      </c>
      <c r="F2" s="54" t="s">
        <v>111</v>
      </c>
      <c r="G2" s="54" t="s">
        <v>112</v>
      </c>
      <c r="H2" s="54" t="s">
        <v>113</v>
      </c>
      <c r="I2" s="55"/>
      <c r="J2" s="55"/>
      <c r="K2" s="55"/>
      <c r="L2" s="55"/>
      <c r="M2" s="55"/>
      <c r="N2" s="55"/>
      <c r="O2" s="55"/>
      <c r="P2" s="55"/>
    </row>
    <row r="3" spans="1:16" ht="62.25" customHeight="1">
      <c r="A3" s="56">
        <v>1</v>
      </c>
      <c r="B3" s="57" t="s">
        <v>114</v>
      </c>
      <c r="C3" s="58" t="s">
        <v>30</v>
      </c>
      <c r="D3" s="59">
        <v>11</v>
      </c>
      <c r="E3" s="60">
        <f t="shared" ref="E3:E11" si="0">D3</f>
        <v>0</v>
      </c>
      <c r="F3" s="60">
        <f t="shared" ref="F3:F11" si="1">E3/12</f>
        <v>0</v>
      </c>
      <c r="G3" s="60">
        <f t="shared" ref="G3:G11" si="2">F3/30</f>
        <v>0</v>
      </c>
      <c r="H3" s="60">
        <f t="shared" ref="H3:H20" si="3">F3*75%</f>
        <v>0</v>
      </c>
      <c r="I3" s="52"/>
      <c r="J3" s="52"/>
      <c r="K3" s="52"/>
      <c r="L3" s="52"/>
      <c r="M3" s="52"/>
      <c r="N3" s="52"/>
      <c r="O3" s="52"/>
      <c r="P3" s="52"/>
    </row>
    <row r="4" spans="1:16" ht="62.25" customHeight="1">
      <c r="A4" s="56">
        <v>2</v>
      </c>
      <c r="B4" s="61" t="s">
        <v>115</v>
      </c>
      <c r="C4" s="58" t="s">
        <v>30</v>
      </c>
      <c r="D4" s="59">
        <v>11</v>
      </c>
      <c r="E4" s="60">
        <f t="shared" si="0"/>
        <v>0</v>
      </c>
      <c r="F4" s="60">
        <f t="shared" si="1"/>
        <v>0</v>
      </c>
      <c r="G4" s="60">
        <f t="shared" si="2"/>
        <v>0</v>
      </c>
      <c r="H4" s="60">
        <f t="shared" si="3"/>
        <v>0</v>
      </c>
      <c r="I4" s="52"/>
      <c r="J4" s="52"/>
      <c r="K4" s="52"/>
      <c r="L4" s="52"/>
      <c r="M4" s="52"/>
      <c r="N4" s="52"/>
      <c r="O4" s="52"/>
      <c r="P4" s="52"/>
    </row>
    <row r="5" spans="1:16" ht="62.25" customHeight="1">
      <c r="A5" s="56">
        <v>3</v>
      </c>
      <c r="B5" s="57" t="s">
        <v>116</v>
      </c>
      <c r="C5" s="58" t="s">
        <v>30</v>
      </c>
      <c r="D5" s="60">
        <f>D4*90%</f>
        <v>0</v>
      </c>
      <c r="E5" s="60">
        <f t="shared" si="0"/>
        <v>0</v>
      </c>
      <c r="F5" s="60">
        <f t="shared" si="1"/>
        <v>0</v>
      </c>
      <c r="G5" s="60">
        <f t="shared" si="2"/>
        <v>0</v>
      </c>
      <c r="H5" s="60">
        <f t="shared" si="3"/>
        <v>0</v>
      </c>
      <c r="I5" s="52"/>
      <c r="J5" s="52"/>
      <c r="K5" s="52"/>
      <c r="L5" s="52"/>
      <c r="M5" s="52"/>
      <c r="N5" s="52"/>
      <c r="O5" s="52"/>
      <c r="P5" s="52"/>
    </row>
    <row r="6" spans="1:16" ht="25.8" customHeight="1">
      <c r="A6" s="56">
        <v>4</v>
      </c>
      <c r="B6" s="57" t="s">
        <v>117</v>
      </c>
      <c r="C6" s="58" t="s">
        <v>30</v>
      </c>
      <c r="D6" s="59">
        <v>10</v>
      </c>
      <c r="E6" s="60">
        <f t="shared" si="0"/>
        <v>0</v>
      </c>
      <c r="F6" s="60">
        <f t="shared" si="1"/>
        <v>0</v>
      </c>
      <c r="G6" s="60">
        <f t="shared" si="2"/>
        <v>0</v>
      </c>
      <c r="H6" s="60">
        <f t="shared" si="3"/>
        <v>0</v>
      </c>
      <c r="I6" s="52"/>
      <c r="J6" s="52"/>
      <c r="K6" s="52"/>
      <c r="L6" s="52"/>
      <c r="M6" s="52"/>
      <c r="N6" s="52"/>
      <c r="O6" s="52"/>
      <c r="P6" s="52"/>
    </row>
    <row r="7" spans="1:16" ht="62.25" customHeight="1">
      <c r="A7" s="56">
        <v>5</v>
      </c>
      <c r="B7" s="57" t="s">
        <v>7</v>
      </c>
      <c r="C7" s="58" t="s">
        <v>41</v>
      </c>
      <c r="D7" s="59">
        <v>245</v>
      </c>
      <c r="E7" s="60">
        <f t="shared" si="0"/>
        <v>0</v>
      </c>
      <c r="F7" s="60">
        <f t="shared" si="1"/>
        <v>0</v>
      </c>
      <c r="G7" s="60">
        <f t="shared" si="2"/>
        <v>0</v>
      </c>
      <c r="H7" s="60">
        <f t="shared" si="3"/>
        <v>0</v>
      </c>
      <c r="I7" s="52"/>
      <c r="J7" s="52"/>
      <c r="K7" s="52"/>
      <c r="L7" s="52"/>
      <c r="M7" s="52"/>
      <c r="N7" s="52"/>
      <c r="O7" s="52"/>
      <c r="P7" s="52"/>
    </row>
    <row r="8" spans="1:16" ht="62.25" customHeight="1">
      <c r="A8" s="56">
        <v>6</v>
      </c>
      <c r="B8" s="57" t="s">
        <v>118</v>
      </c>
      <c r="C8" s="58" t="s">
        <v>41</v>
      </c>
      <c r="D8" s="62">
        <f>E7</f>
        <v>0</v>
      </c>
      <c r="E8" s="60">
        <f t="shared" si="0"/>
        <v>0</v>
      </c>
      <c r="F8" s="60">
        <f t="shared" si="1"/>
        <v>0</v>
      </c>
      <c r="G8" s="60">
        <f t="shared" si="2"/>
        <v>0</v>
      </c>
      <c r="H8" s="60">
        <f t="shared" si="3"/>
        <v>0</v>
      </c>
      <c r="I8" s="52"/>
      <c r="J8" s="52"/>
      <c r="K8" s="52"/>
      <c r="L8" s="52"/>
      <c r="M8" s="52"/>
      <c r="N8" s="52"/>
      <c r="O8" s="52"/>
      <c r="P8" s="52"/>
    </row>
    <row r="9" spans="1:16" ht="62.25" customHeight="1">
      <c r="A9" s="56">
        <v>7</v>
      </c>
      <c r="B9" s="57" t="s">
        <v>119</v>
      </c>
      <c r="C9" s="58" t="s">
        <v>41</v>
      </c>
      <c r="D9" s="63">
        <f>D8*23.75%</f>
        <v>0</v>
      </c>
      <c r="E9" s="60">
        <f t="shared" si="0"/>
        <v>0</v>
      </c>
      <c r="F9" s="60">
        <f t="shared" si="1"/>
        <v>0</v>
      </c>
      <c r="G9" s="60">
        <f t="shared" si="2"/>
        <v>0</v>
      </c>
      <c r="H9" s="60">
        <f t="shared" si="3"/>
        <v>0</v>
      </c>
      <c r="I9" s="52"/>
      <c r="J9" s="52"/>
      <c r="K9" s="52"/>
      <c r="L9" s="52"/>
      <c r="M9" s="52"/>
      <c r="N9" s="52"/>
      <c r="O9" s="52"/>
      <c r="P9" s="52"/>
    </row>
    <row r="10" spans="1:16" ht="62.25" customHeight="1">
      <c r="A10" s="56">
        <v>8</v>
      </c>
      <c r="B10" s="57" t="s">
        <v>120</v>
      </c>
      <c r="C10" s="58" t="s">
        <v>41</v>
      </c>
      <c r="D10" s="62">
        <f>D8</f>
        <v>0</v>
      </c>
      <c r="E10" s="60">
        <f t="shared" si="0"/>
        <v>0</v>
      </c>
      <c r="F10" s="60">
        <f t="shared" si="1"/>
        <v>0</v>
      </c>
      <c r="G10" s="60">
        <f t="shared" si="2"/>
        <v>0</v>
      </c>
      <c r="H10" s="60">
        <f t="shared" si="3"/>
        <v>0</v>
      </c>
      <c r="I10" s="52"/>
      <c r="J10" s="52"/>
      <c r="K10" s="52"/>
      <c r="L10" s="52"/>
      <c r="M10" s="52"/>
      <c r="N10" s="52"/>
      <c r="O10" s="52"/>
      <c r="P10" s="52"/>
    </row>
    <row r="11" spans="1:16" ht="62.25" customHeight="1">
      <c r="A11" s="56">
        <v>9</v>
      </c>
      <c r="B11" s="57" t="s">
        <v>121</v>
      </c>
      <c r="C11" s="58" t="s">
        <v>41</v>
      </c>
      <c r="D11" s="63">
        <f>D10*13%</f>
        <v>0</v>
      </c>
      <c r="E11" s="60">
        <f t="shared" si="0"/>
        <v>0</v>
      </c>
      <c r="F11" s="60">
        <f t="shared" si="1"/>
        <v>0</v>
      </c>
      <c r="G11" s="60">
        <f t="shared" si="2"/>
        <v>0</v>
      </c>
      <c r="H11" s="60">
        <f t="shared" si="3"/>
        <v>0</v>
      </c>
      <c r="I11" s="52"/>
      <c r="J11" s="52"/>
      <c r="K11" s="52"/>
      <c r="L11" s="52"/>
      <c r="M11" s="52"/>
      <c r="N11" s="52"/>
      <c r="O11" s="52"/>
      <c r="P11" s="52"/>
    </row>
    <row r="12" spans="1:16" ht="62.25" customHeight="1">
      <c r="A12" s="56" t="s">
        <v>21</v>
      </c>
      <c r="B12" s="57" t="s">
        <v>122</v>
      </c>
      <c r="C12" s="58" t="s">
        <v>123</v>
      </c>
      <c r="D12" s="64">
        <v>438</v>
      </c>
      <c r="E12" s="60">
        <v>0</v>
      </c>
      <c r="F12" s="60">
        <f t="shared" ref="F12:F14" si="4">D12</f>
        <v>0</v>
      </c>
      <c r="G12" s="60">
        <v>0</v>
      </c>
      <c r="H12" s="60">
        <f t="shared" si="3"/>
        <v>0</v>
      </c>
      <c r="I12" s="52"/>
      <c r="J12" s="52"/>
      <c r="K12" s="52"/>
      <c r="L12" s="52"/>
      <c r="M12" s="52"/>
      <c r="N12" s="52"/>
      <c r="O12" s="52"/>
      <c r="P12" s="52"/>
    </row>
    <row r="13" spans="1:16" ht="62.25" customHeight="1">
      <c r="A13" s="56">
        <v>10</v>
      </c>
      <c r="B13" s="57" t="s">
        <v>124</v>
      </c>
      <c r="C13" s="58" t="s">
        <v>50</v>
      </c>
      <c r="D13" s="65">
        <f>F12*3%</f>
        <v>0</v>
      </c>
      <c r="E13" s="60">
        <v>0</v>
      </c>
      <c r="F13" s="60">
        <f t="shared" si="4"/>
        <v>0</v>
      </c>
      <c r="G13" s="60">
        <f t="shared" ref="G13:G18" si="5">F13/30</f>
        <v>0</v>
      </c>
      <c r="H13" s="60">
        <f t="shared" si="3"/>
        <v>0</v>
      </c>
      <c r="I13" s="52"/>
      <c r="J13" s="52"/>
      <c r="K13" s="52"/>
      <c r="L13" s="52"/>
      <c r="M13" s="52"/>
      <c r="N13" s="52"/>
      <c r="O13" s="52"/>
      <c r="P13" s="52"/>
    </row>
    <row r="14" spans="1:16" ht="62.25" customHeight="1">
      <c r="A14" s="56">
        <v>11</v>
      </c>
      <c r="B14" s="57" t="s">
        <v>13</v>
      </c>
      <c r="C14" s="58" t="s">
        <v>41</v>
      </c>
      <c r="D14" s="66">
        <v>1</v>
      </c>
      <c r="E14" s="60">
        <v>0</v>
      </c>
      <c r="F14" s="60">
        <f t="shared" si="4"/>
        <v>0</v>
      </c>
      <c r="G14" s="60">
        <f t="shared" si="5"/>
        <v>0</v>
      </c>
      <c r="H14" s="60">
        <f t="shared" si="3"/>
        <v>0</v>
      </c>
      <c r="I14" s="52"/>
      <c r="J14" s="52"/>
      <c r="K14" s="52"/>
      <c r="L14" s="52"/>
      <c r="M14" s="52"/>
      <c r="N14" s="52"/>
      <c r="O14" s="52"/>
      <c r="P14" s="52"/>
    </row>
    <row r="15" spans="1:16" ht="62.25" customHeight="1">
      <c r="A15" s="56">
        <v>12</v>
      </c>
      <c r="B15" s="57" t="s">
        <v>125</v>
      </c>
      <c r="C15" s="67" t="s">
        <v>126</v>
      </c>
      <c r="D15" s="68">
        <f>52*12</f>
        <v>624</v>
      </c>
      <c r="E15" s="60">
        <f t="shared" ref="E15:E18" si="6">D15</f>
        <v>624</v>
      </c>
      <c r="F15" s="60">
        <f>D15/12</f>
        <v>52</v>
      </c>
      <c r="G15" s="60">
        <f t="shared" si="5"/>
        <v>1.7333333333333334</v>
      </c>
      <c r="H15" s="60">
        <f t="shared" si="3"/>
        <v>39</v>
      </c>
      <c r="I15" s="52"/>
      <c r="J15" s="52"/>
      <c r="K15" s="52"/>
      <c r="L15" s="52"/>
      <c r="M15" s="52"/>
      <c r="N15" s="52"/>
      <c r="O15" s="52"/>
      <c r="P15" s="52"/>
    </row>
    <row r="16" spans="1:16" ht="62.25" customHeight="1">
      <c r="A16" s="56">
        <v>13</v>
      </c>
      <c r="B16" s="57" t="s">
        <v>127</v>
      </c>
      <c r="C16" s="67" t="s">
        <v>128</v>
      </c>
      <c r="D16" s="68">
        <v>60</v>
      </c>
      <c r="E16" s="60">
        <f t="shared" si="6"/>
        <v>60</v>
      </c>
      <c r="F16" s="60">
        <f t="shared" ref="F16:F18" si="7">E16/12</f>
        <v>5</v>
      </c>
      <c r="G16" s="60">
        <f t="shared" si="5"/>
        <v>0.16666666666666666</v>
      </c>
      <c r="H16" s="60">
        <f t="shared" si="3"/>
        <v>3.75</v>
      </c>
      <c r="I16" s="52"/>
      <c r="J16" s="52"/>
      <c r="K16" s="52"/>
      <c r="L16" s="52"/>
      <c r="M16" s="52"/>
      <c r="N16" s="52"/>
      <c r="O16" s="52"/>
      <c r="P16" s="52"/>
    </row>
    <row r="17" spans="1:16" ht="62.25" customHeight="1">
      <c r="A17" s="56">
        <v>14</v>
      </c>
      <c r="B17" s="57" t="s">
        <v>16</v>
      </c>
      <c r="C17" s="67" t="s">
        <v>128</v>
      </c>
      <c r="D17" s="68">
        <v>12</v>
      </c>
      <c r="E17" s="60">
        <f t="shared" si="6"/>
        <v>12</v>
      </c>
      <c r="F17" s="60">
        <f t="shared" si="7"/>
        <v>1</v>
      </c>
      <c r="G17" s="60">
        <f t="shared" si="5"/>
        <v>3.3333333333333333E-2</v>
      </c>
      <c r="H17" s="60">
        <f t="shared" si="3"/>
        <v>0.75</v>
      </c>
      <c r="I17" s="52"/>
      <c r="J17" s="52"/>
      <c r="K17" s="52"/>
      <c r="L17" s="52"/>
      <c r="M17" s="52"/>
      <c r="N17" s="52"/>
      <c r="O17" s="52"/>
      <c r="P17" s="52"/>
    </row>
    <row r="18" spans="1:16" ht="62.25" customHeight="1">
      <c r="A18" s="56">
        <v>15</v>
      </c>
      <c r="B18" s="57" t="s">
        <v>17</v>
      </c>
      <c r="C18" s="67" t="s">
        <v>129</v>
      </c>
      <c r="D18" s="68">
        <v>36</v>
      </c>
      <c r="E18" s="60">
        <f t="shared" si="6"/>
        <v>36</v>
      </c>
      <c r="F18" s="60">
        <f t="shared" si="7"/>
        <v>3</v>
      </c>
      <c r="G18" s="60">
        <f t="shared" si="5"/>
        <v>0.1</v>
      </c>
      <c r="H18" s="60">
        <f t="shared" si="3"/>
        <v>2.25</v>
      </c>
      <c r="I18" s="52"/>
      <c r="J18" s="52"/>
      <c r="K18" s="52"/>
      <c r="L18" s="52"/>
      <c r="M18" s="52"/>
      <c r="N18" s="52"/>
      <c r="O18" s="52"/>
      <c r="P18" s="52"/>
    </row>
    <row r="19" spans="1:16" ht="62.25" customHeight="1">
      <c r="A19" s="56">
        <v>16</v>
      </c>
      <c r="B19" s="57" t="s">
        <v>18</v>
      </c>
      <c r="C19" s="58" t="s">
        <v>123</v>
      </c>
      <c r="D19" s="64">
        <v>348</v>
      </c>
      <c r="E19" s="69">
        <v>0</v>
      </c>
      <c r="F19" s="69">
        <f>D19</f>
        <v>0</v>
      </c>
      <c r="G19" s="69">
        <f>F19/26</f>
        <v>0</v>
      </c>
      <c r="H19" s="60">
        <f t="shared" si="3"/>
        <v>0</v>
      </c>
      <c r="I19" s="52"/>
      <c r="J19" s="52"/>
      <c r="K19" s="52"/>
      <c r="L19" s="52"/>
      <c r="M19" s="52"/>
      <c r="N19" s="52"/>
      <c r="O19" s="52"/>
      <c r="P19" s="52"/>
    </row>
    <row r="20" spans="1:16" ht="83.25" customHeight="1">
      <c r="A20" s="56">
        <v>17</v>
      </c>
      <c r="B20" s="57" t="s">
        <v>19</v>
      </c>
      <c r="C20" s="67" t="s">
        <v>129</v>
      </c>
      <c r="D20" s="68">
        <f>22*10*12</f>
        <v>2640</v>
      </c>
      <c r="E20" s="60">
        <f>D20</f>
        <v>2640</v>
      </c>
      <c r="F20" s="60">
        <f>E20/12</f>
        <v>220</v>
      </c>
      <c r="G20" s="69">
        <f>F20/22</f>
        <v>10</v>
      </c>
      <c r="H20" s="60">
        <f t="shared" si="3"/>
        <v>165</v>
      </c>
      <c r="I20" s="52"/>
      <c r="J20" s="52"/>
      <c r="K20" s="52"/>
      <c r="L20" s="52"/>
      <c r="M20" s="52"/>
      <c r="N20" s="52"/>
      <c r="O20" s="52"/>
      <c r="P20" s="52"/>
    </row>
    <row r="21" spans="1:16" ht="26.25" customHeight="1">
      <c r="A21" s="70"/>
      <c r="B21" s="52"/>
      <c r="C21" s="71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1:16" ht="42" customHeight="1">
      <c r="A22" s="70"/>
      <c r="B22" s="72" t="s">
        <v>130</v>
      </c>
      <c r="C22" s="73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</row>
    <row r="23" spans="1:16" ht="42" customHeight="1">
      <c r="A23" s="70"/>
      <c r="B23" s="75" t="s">
        <v>131</v>
      </c>
      <c r="C23" s="73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</row>
    <row r="24" spans="1:16" ht="42" customHeight="1">
      <c r="A24" s="70"/>
      <c r="B24" s="75" t="s">
        <v>132</v>
      </c>
      <c r="C24" s="73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spans="1:16" ht="42" customHeight="1">
      <c r="A25" s="70"/>
      <c r="B25" s="75" t="s">
        <v>133</v>
      </c>
      <c r="C25" s="73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spans="1:16" ht="42" customHeight="1">
      <c r="A26" s="70"/>
      <c r="B26" s="75" t="s">
        <v>134</v>
      </c>
      <c r="C26" s="73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spans="1:16" ht="42" customHeight="1">
      <c r="A27" s="70"/>
      <c r="B27" s="75" t="s">
        <v>135</v>
      </c>
      <c r="C27" s="73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spans="1:16" ht="42" customHeight="1">
      <c r="A28" s="70"/>
      <c r="B28" s="75" t="s">
        <v>136</v>
      </c>
      <c r="C28" s="73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spans="1:16" ht="42" customHeight="1">
      <c r="A29" s="70"/>
      <c r="B29" s="75" t="s">
        <v>137</v>
      </c>
      <c r="C29" s="73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spans="1:16" ht="42" customHeight="1">
      <c r="A30" s="70"/>
      <c r="B30" s="75" t="s">
        <v>138</v>
      </c>
      <c r="C30" s="73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</row>
    <row r="31" spans="1:16" ht="42" customHeight="1">
      <c r="A31" s="70"/>
      <c r="B31" s="75" t="s">
        <v>139</v>
      </c>
      <c r="C31" s="73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spans="1:16" ht="42" customHeight="1">
      <c r="A32" s="70" t="s">
        <v>21</v>
      </c>
      <c r="B32" s="75" t="s">
        <v>140</v>
      </c>
      <c r="C32" s="73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</row>
    <row r="33" spans="1:16" ht="42" customHeight="1">
      <c r="A33" s="70"/>
      <c r="B33" s="75" t="s">
        <v>141</v>
      </c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</row>
    <row r="34" spans="1:16" ht="42" customHeight="1">
      <c r="A34" s="70"/>
      <c r="B34" s="76" t="s">
        <v>142</v>
      </c>
      <c r="C34" s="73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</row>
    <row r="35" spans="1:16" ht="42" customHeight="1">
      <c r="A35" s="70"/>
      <c r="B35" s="76" t="s">
        <v>143</v>
      </c>
      <c r="C35" s="73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</row>
    <row r="36" spans="1:16" ht="42" customHeight="1">
      <c r="A36" s="70"/>
      <c r="B36" s="76" t="s">
        <v>144</v>
      </c>
      <c r="C36" s="7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 spans="1:16" ht="42" customHeight="1">
      <c r="A37" s="70"/>
      <c r="B37" s="76" t="s">
        <v>145</v>
      </c>
      <c r="C37" s="71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</row>
    <row r="38" spans="1:16" ht="42" customHeight="1">
      <c r="A38" s="70"/>
      <c r="B38" s="76" t="s">
        <v>146</v>
      </c>
      <c r="C38" s="71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1:16" ht="42" customHeight="1">
      <c r="A39" s="70"/>
      <c r="B39" s="76" t="s">
        <v>147</v>
      </c>
      <c r="C39" s="7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 spans="1:16" ht="42" customHeight="1">
      <c r="A40" s="70"/>
      <c r="B40" s="76" t="s">
        <v>148</v>
      </c>
      <c r="C40" s="71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 spans="1:16" ht="42" customHeight="1">
      <c r="A41" s="77">
        <v>18</v>
      </c>
      <c r="B41" s="78" t="s">
        <v>149</v>
      </c>
      <c r="C41" s="79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</row>
    <row r="42" spans="1:16" ht="42" customHeight="1">
      <c r="A42" s="77"/>
      <c r="B42" s="78" t="s">
        <v>150</v>
      </c>
      <c r="C42" s="81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</row>
    <row r="43" spans="1:16" ht="26.25" customHeight="1">
      <c r="A43" s="70"/>
      <c r="B43" s="52"/>
      <c r="C43" s="7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</row>
    <row r="44" spans="1:16" ht="26.25" customHeight="1">
      <c r="A44" s="70"/>
      <c r="B44" s="52"/>
      <c r="C44" s="71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</row>
    <row r="45" spans="1:16" ht="26.25" customHeight="1">
      <c r="A45" s="70"/>
      <c r="B45" s="52"/>
      <c r="C45" s="71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1:16" ht="26.25" customHeight="1">
      <c r="A46" s="70"/>
      <c r="B46" s="52"/>
      <c r="C46" s="7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</row>
    <row r="47" spans="1:16" ht="26.25" customHeight="1">
      <c r="A47" s="70"/>
      <c r="B47" s="52"/>
      <c r="C47" s="7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1:16" ht="26.25" customHeight="1">
      <c r="A48" s="70"/>
      <c r="B48" s="52"/>
      <c r="C48" s="7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6" ht="26.25" customHeight="1">
      <c r="A49" s="70"/>
      <c r="B49" s="52"/>
      <c r="C49" s="7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  <row r="50" spans="1:16" ht="26.25" customHeight="1">
      <c r="A50" s="70"/>
      <c r="B50" s="52"/>
      <c r="C50" s="7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1:16" ht="26.25" customHeight="1">
      <c r="A51" s="70"/>
      <c r="B51" s="52"/>
      <c r="C51" s="7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 spans="1:16" ht="26.25" customHeight="1">
      <c r="A52" s="70"/>
      <c r="B52" s="52"/>
      <c r="C52" s="7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 ht="26.25" customHeight="1">
      <c r="A53" s="70"/>
      <c r="B53" s="52"/>
      <c r="C53" s="7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1:16" ht="26.25" customHeight="1">
      <c r="A54" s="70"/>
      <c r="B54" s="52"/>
      <c r="C54" s="7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1:16" ht="26.25" customHeight="1">
      <c r="A55" s="70"/>
      <c r="B55" s="52"/>
      <c r="C55" s="7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 spans="1:16" ht="26.25" customHeight="1">
      <c r="A56" s="70"/>
      <c r="B56" s="52"/>
      <c r="C56" s="71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1:16" ht="26.25" customHeight="1">
      <c r="A57" s="70"/>
      <c r="B57" s="52"/>
      <c r="C57" s="7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</row>
    <row r="58" spans="1:16" ht="26.25" customHeight="1">
      <c r="A58" s="70"/>
      <c r="B58" s="52"/>
      <c r="C58" s="7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</row>
    <row r="59" spans="1:16" ht="26.25" customHeight="1">
      <c r="A59" s="70"/>
      <c r="B59" s="52"/>
      <c r="C59" s="7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</row>
    <row r="60" spans="1:16" ht="26.25" customHeight="1">
      <c r="A60" s="70"/>
      <c r="B60" s="52"/>
      <c r="C60" s="7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  <row r="61" spans="1:16" ht="26.25" customHeight="1">
      <c r="A61" s="70"/>
      <c r="B61" s="52"/>
      <c r="C61" s="7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</row>
    <row r="62" spans="1:16" ht="26.25" customHeight="1">
      <c r="A62" s="70"/>
      <c r="B62" s="52"/>
      <c r="C62" s="7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</row>
    <row r="63" spans="1:16" ht="26.25" customHeight="1">
      <c r="A63" s="70"/>
      <c r="B63" s="52"/>
      <c r="C63" s="7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spans="1:16" ht="26.25" customHeight="1">
      <c r="A64" s="70"/>
      <c r="B64" s="52"/>
      <c r="C64" s="7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spans="1:16" ht="26.25" customHeight="1">
      <c r="A65" s="70"/>
      <c r="B65" s="52"/>
      <c r="C65" s="7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spans="1:16" ht="26.25" customHeight="1">
      <c r="A66" s="70"/>
      <c r="B66" s="52"/>
      <c r="C66" s="7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spans="1:16" ht="26.25" customHeight="1">
      <c r="A67" s="70"/>
      <c r="B67" s="52"/>
      <c r="C67" s="71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spans="1:16" ht="26.25" customHeight="1">
      <c r="A68" s="70"/>
      <c r="B68" s="52"/>
      <c r="C68" s="71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spans="1:16" ht="26.25" customHeight="1">
      <c r="A69" s="70"/>
      <c r="B69" s="52"/>
      <c r="C69" s="71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spans="1:16" ht="26.25" customHeight="1">
      <c r="A70" s="70"/>
      <c r="B70" s="52"/>
      <c r="C70" s="7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spans="1:16" ht="26.25" customHeight="1">
      <c r="A71" s="70"/>
      <c r="B71" s="52"/>
      <c r="C71" s="7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</row>
    <row r="72" spans="1:16" ht="26.25" customHeight="1">
      <c r="A72" s="70"/>
      <c r="B72" s="52"/>
      <c r="C72" s="71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</row>
    <row r="73" spans="1:16" ht="26.25" customHeight="1">
      <c r="A73" s="70"/>
      <c r="B73" s="52"/>
      <c r="C73" s="71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</row>
    <row r="74" spans="1:16" ht="26.25" customHeight="1">
      <c r="A74" s="70"/>
      <c r="B74" s="52"/>
      <c r="C74" s="71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</row>
    <row r="75" spans="1:16" ht="26.25" customHeight="1">
      <c r="A75" s="70"/>
      <c r="B75" s="52"/>
      <c r="C75" s="7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1:16" ht="26.25" customHeight="1">
      <c r="A76" s="70"/>
      <c r="B76" s="52"/>
      <c r="C76" s="71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</row>
    <row r="77" spans="1:16" ht="26.25" customHeight="1">
      <c r="A77" s="70"/>
      <c r="B77" s="52"/>
      <c r="C77" s="71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</row>
    <row r="78" spans="1:16" ht="26.25" customHeight="1">
      <c r="A78" s="70"/>
      <c r="B78" s="52"/>
      <c r="C78" s="71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</row>
    <row r="79" spans="1:16" ht="26.25" customHeight="1">
      <c r="A79" s="70"/>
      <c r="B79" s="52"/>
      <c r="C79" s="7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</row>
    <row r="80" spans="1:16" ht="26.25" customHeight="1">
      <c r="A80" s="70"/>
      <c r="B80" s="52"/>
      <c r="C80" s="71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 spans="1:16" ht="26.25" customHeight="1">
      <c r="A81" s="70"/>
      <c r="B81" s="52"/>
      <c r="C81" s="71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</row>
    <row r="82" spans="1:16" ht="26.25" customHeight="1">
      <c r="A82" s="70"/>
      <c r="B82" s="52"/>
      <c r="C82" s="71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</row>
    <row r="83" spans="1:16" ht="26.25" customHeight="1">
      <c r="A83" s="70"/>
      <c r="B83" s="52"/>
      <c r="C83" s="7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1:16" ht="26.25" customHeight="1">
      <c r="A84" s="70"/>
      <c r="B84" s="52"/>
      <c r="C84" s="71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</row>
    <row r="85" spans="1:16" ht="26.25" customHeight="1">
      <c r="A85" s="70"/>
      <c r="B85" s="52"/>
      <c r="C85" s="71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</row>
    <row r="86" spans="1:16" ht="26.25" customHeight="1">
      <c r="A86" s="70"/>
      <c r="B86" s="52"/>
      <c r="C86" s="7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1:16" ht="26.25" customHeight="1">
      <c r="A87" s="70"/>
      <c r="B87" s="52"/>
      <c r="C87" s="71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</row>
    <row r="88" spans="1:16" ht="26.25" customHeight="1">
      <c r="A88" s="70"/>
      <c r="B88" s="52"/>
      <c r="C88" s="71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</row>
    <row r="89" spans="1:16" ht="26.25" customHeight="1">
      <c r="A89" s="70"/>
      <c r="B89" s="52"/>
      <c r="C89" s="71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 spans="1:16" ht="26.25" customHeight="1">
      <c r="A90" s="70"/>
      <c r="B90" s="52"/>
      <c r="C90" s="7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</row>
    <row r="91" spans="1:16" ht="26.25" customHeight="1">
      <c r="A91" s="70"/>
      <c r="B91" s="52"/>
      <c r="C91" s="7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</row>
    <row r="92" spans="1:16" ht="26.25" customHeight="1">
      <c r="A92" s="70"/>
      <c r="B92" s="52"/>
      <c r="C92" s="71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</row>
    <row r="93" spans="1:16" ht="26.25" customHeight="1">
      <c r="A93" s="70"/>
      <c r="B93" s="52"/>
      <c r="C93" s="71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</row>
    <row r="94" spans="1:16" ht="26.25" customHeight="1">
      <c r="A94" s="70"/>
      <c r="B94" s="52"/>
      <c r="C94" s="7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</row>
    <row r="95" spans="1:16" ht="26.25" customHeight="1">
      <c r="A95" s="70"/>
      <c r="B95" s="52"/>
      <c r="C95" s="7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1:16" ht="26.25" customHeight="1">
      <c r="A96" s="70"/>
      <c r="B96" s="52"/>
      <c r="C96" s="7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</row>
    <row r="97" spans="1:16" ht="26.25" customHeight="1">
      <c r="A97" s="70"/>
      <c r="B97" s="52"/>
      <c r="C97" s="71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</row>
    <row r="98" spans="1:16" ht="26.25" customHeight="1">
      <c r="A98" s="70"/>
      <c r="B98" s="52"/>
      <c r="C98" s="71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 spans="1:16" ht="26.25" customHeight="1">
      <c r="A99" s="70"/>
      <c r="B99" s="52"/>
      <c r="C99" s="7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 spans="1:16" ht="26.25" customHeight="1">
      <c r="A100" s="70"/>
      <c r="B100" s="52"/>
      <c r="C100" s="71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</sheetData>
  <mergeCells count="1">
    <mergeCell ref="A1:H1"/>
  </mergeCells>
  <printOptions horizontalCentered="1" verticalCentered="1"/>
  <pageMargins left="0.25" right="0.25" top="0.25" bottom="0.25" header="0" footer="0"/>
  <pageSetup paperSize="9" orientation="landscape" fitToWidth="1" fitToHeight="1" useFirstPageNumb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ASHA 1</vt:lpstr>
      <vt:lpstr>Table ASHA 2</vt:lpstr>
      <vt:lpstr>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Kumbhar</dc:creator>
  <cp:lastModifiedBy>Aditya Kumbhar</cp:lastModifiedBy>
  <cp:lastPrinted>2026-05-11T17:29:50Z</cp:lastPrinted>
  <dcterms:created xsi:type="dcterms:W3CDTF">2006-09-16T00:00:00Z</dcterms:created>
  <dcterms:modified xsi:type="dcterms:W3CDTF">2026-05-19T07:10:53Z</dcterms:modified>
</cp:coreProperties>
</file>